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0FB7A4F9-06ED-44D3-98A5-3503B167F841}" xr6:coauthVersionLast="47" xr6:coauthVersionMax="47" xr10:uidLastSave="{00000000-0000-0000-0000-000000000000}"/>
  <bookViews>
    <workbookView xWindow="-108" yWindow="-108" windowWidth="23256" windowHeight="12456" tabRatio="719" activeTab="10" xr2:uid="{00000000-000D-0000-FFFF-FFFF00000000}"/>
  </bookViews>
  <sheets>
    <sheet name="P01" sheetId="3" r:id="rId1"/>
    <sheet name="P02" sheetId="4" r:id="rId2"/>
    <sheet name="P03" sheetId="5" r:id="rId3"/>
    <sheet name="P04" sheetId="6" r:id="rId4"/>
    <sheet name="P05" sheetId="7" r:id="rId5"/>
    <sheet name="P06" sheetId="8" r:id="rId6"/>
    <sheet name="P07" sheetId="9" r:id="rId7"/>
    <sheet name="P08" sheetId="10" r:id="rId8"/>
    <sheet name="P09" sheetId="11" r:id="rId9"/>
    <sheet name="P10" sheetId="12" r:id="rId10"/>
    <sheet name="Medie" sheetId="13" r:id="rId11"/>
    <sheet name="Confronto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5" i="8" l="1"/>
  <c r="C29" i="13"/>
  <c r="C28" i="13"/>
  <c r="D27" i="13"/>
  <c r="C27" i="13"/>
  <c r="C20" i="13"/>
  <c r="C15" i="13"/>
  <c r="E14" i="13"/>
  <c r="C14" i="13"/>
  <c r="E13" i="13"/>
  <c r="C13" i="13"/>
  <c r="E9" i="13"/>
  <c r="E8" i="13"/>
  <c r="C8" i="13"/>
  <c r="C7" i="13"/>
  <c r="E6" i="13"/>
  <c r="C6" i="13"/>
  <c r="E5" i="13"/>
  <c r="H40" i="12"/>
  <c r="H39" i="12"/>
  <c r="H38" i="12"/>
  <c r="H37" i="12"/>
  <c r="H41" i="12" s="1"/>
  <c r="H33" i="12"/>
  <c r="H32" i="12"/>
  <c r="H31" i="12"/>
  <c r="H30" i="12"/>
  <c r="H29" i="12"/>
  <c r="H24" i="12"/>
  <c r="H23" i="12"/>
  <c r="H22" i="12"/>
  <c r="H21" i="12"/>
  <c r="H25" i="12" s="1"/>
  <c r="H16" i="12"/>
  <c r="H15" i="12"/>
  <c r="H14" i="12"/>
  <c r="E7" i="13" s="1"/>
  <c r="E10" i="13" s="1"/>
  <c r="H13" i="12"/>
  <c r="H12" i="12"/>
  <c r="H17" i="12" s="1"/>
  <c r="H40" i="11"/>
  <c r="H39" i="11"/>
  <c r="H38" i="11"/>
  <c r="H37" i="11"/>
  <c r="H41" i="11" s="1"/>
  <c r="H33" i="11"/>
  <c r="H32" i="11"/>
  <c r="H31" i="11"/>
  <c r="H30" i="11"/>
  <c r="H29" i="11"/>
  <c r="H24" i="11"/>
  <c r="H23" i="11"/>
  <c r="H22" i="11"/>
  <c r="H21" i="11"/>
  <c r="H25" i="11" s="1"/>
  <c r="H16" i="11"/>
  <c r="H15" i="11"/>
  <c r="H14" i="11"/>
  <c r="H13" i="11"/>
  <c r="H12" i="11"/>
  <c r="H17" i="11" s="1"/>
  <c r="H40" i="10"/>
  <c r="E30" i="13" s="1"/>
  <c r="H39" i="10"/>
  <c r="E29" i="13" s="1"/>
  <c r="H38" i="10"/>
  <c r="E28" i="13" s="1"/>
  <c r="H37" i="10"/>
  <c r="H32" i="10"/>
  <c r="E23" i="13" s="1"/>
  <c r="H31" i="10"/>
  <c r="H30" i="10"/>
  <c r="E21" i="13" s="1"/>
  <c r="H29" i="10"/>
  <c r="E20" i="13" s="1"/>
  <c r="H24" i="10"/>
  <c r="E16" i="13" s="1"/>
  <c r="H23" i="10"/>
  <c r="E15" i="13" s="1"/>
  <c r="H22" i="10"/>
  <c r="H21" i="10"/>
  <c r="H16" i="10"/>
  <c r="H15" i="10"/>
  <c r="H14" i="10"/>
  <c r="H13" i="10"/>
  <c r="H12" i="10"/>
  <c r="H17" i="10" s="1"/>
  <c r="H40" i="9"/>
  <c r="H39" i="9"/>
  <c r="H38" i="9"/>
  <c r="H37" i="9"/>
  <c r="H32" i="9"/>
  <c r="H31" i="9"/>
  <c r="H30" i="9"/>
  <c r="H29" i="9"/>
  <c r="H24" i="9"/>
  <c r="D16" i="13" s="1"/>
  <c r="H23" i="9"/>
  <c r="H22" i="9"/>
  <c r="H21" i="9"/>
  <c r="H16" i="9"/>
  <c r="H15" i="9"/>
  <c r="H14" i="9"/>
  <c r="H13" i="9"/>
  <c r="H12" i="9"/>
  <c r="H40" i="8"/>
  <c r="H39" i="8"/>
  <c r="H38" i="8"/>
  <c r="H37" i="8"/>
  <c r="H32" i="8"/>
  <c r="H31" i="8"/>
  <c r="H30" i="8"/>
  <c r="H29" i="8"/>
  <c r="H33" i="8" s="1"/>
  <c r="H24" i="8"/>
  <c r="H23" i="8"/>
  <c r="H22" i="8"/>
  <c r="H21" i="8"/>
  <c r="H25" i="8" s="1"/>
  <c r="H16" i="8"/>
  <c r="H14" i="8"/>
  <c r="H13" i="8"/>
  <c r="H12" i="8"/>
  <c r="H17" i="8" s="1"/>
  <c r="H40" i="7"/>
  <c r="H39" i="7"/>
  <c r="H38" i="7"/>
  <c r="H37" i="7"/>
  <c r="H33" i="7"/>
  <c r="H32" i="7"/>
  <c r="D23" i="13" s="1"/>
  <c r="H31" i="7"/>
  <c r="D22" i="13" s="1"/>
  <c r="H30" i="7"/>
  <c r="H29" i="7"/>
  <c r="H24" i="7"/>
  <c r="H23" i="7"/>
  <c r="H22" i="7"/>
  <c r="H21" i="7"/>
  <c r="H16" i="7"/>
  <c r="H15" i="7"/>
  <c r="H14" i="7"/>
  <c r="H13" i="7"/>
  <c r="H12" i="7"/>
  <c r="H17" i="7" s="1"/>
  <c r="H40" i="6"/>
  <c r="H39" i="6"/>
  <c r="H38" i="6"/>
  <c r="H37" i="6"/>
  <c r="H32" i="6"/>
  <c r="H31" i="6"/>
  <c r="H30" i="6"/>
  <c r="H29" i="6"/>
  <c r="H33" i="6" s="1"/>
  <c r="H24" i="6"/>
  <c r="H23" i="6"/>
  <c r="H22" i="6"/>
  <c r="H21" i="6"/>
  <c r="H25" i="6" s="1"/>
  <c r="H16" i="6"/>
  <c r="H15" i="6"/>
  <c r="H14" i="6"/>
  <c r="H13" i="6"/>
  <c r="H12" i="6"/>
  <c r="H17" i="6" s="1"/>
  <c r="H40" i="5"/>
  <c r="H39" i="5"/>
  <c r="H38" i="5"/>
  <c r="H37" i="5"/>
  <c r="H32" i="5"/>
  <c r="H31" i="5"/>
  <c r="H30" i="5"/>
  <c r="H29" i="5"/>
  <c r="H33" i="5" s="1"/>
  <c r="H24" i="5"/>
  <c r="H23" i="5"/>
  <c r="H22" i="5"/>
  <c r="H21" i="5"/>
  <c r="H25" i="5" s="1"/>
  <c r="H16" i="5"/>
  <c r="H15" i="5"/>
  <c r="H14" i="5"/>
  <c r="H13" i="5"/>
  <c r="H12" i="5"/>
  <c r="H17" i="5" s="1"/>
  <c r="H40" i="4"/>
  <c r="H39" i="4"/>
  <c r="H38" i="4"/>
  <c r="H37" i="4"/>
  <c r="H36" i="4"/>
  <c r="H32" i="4"/>
  <c r="H31" i="4"/>
  <c r="H30" i="4"/>
  <c r="H29" i="4"/>
  <c r="H28" i="4"/>
  <c r="H23" i="4"/>
  <c r="H22" i="4"/>
  <c r="H21" i="4"/>
  <c r="H20" i="4"/>
  <c r="H24" i="4" s="1"/>
  <c r="H15" i="4"/>
  <c r="H14" i="4"/>
  <c r="H13" i="4"/>
  <c r="H12" i="4"/>
  <c r="H11" i="4"/>
  <c r="H16" i="4" s="1"/>
  <c r="H40" i="3"/>
  <c r="H39" i="3"/>
  <c r="H38" i="3"/>
  <c r="H37" i="3"/>
  <c r="H36" i="3"/>
  <c r="H32" i="3"/>
  <c r="H31" i="3"/>
  <c r="H30" i="3"/>
  <c r="H29" i="3"/>
  <c r="H28" i="3"/>
  <c r="H23" i="3"/>
  <c r="H22" i="3"/>
  <c r="H21" i="3"/>
  <c r="H20" i="3"/>
  <c r="H24" i="3" s="1"/>
  <c r="H15" i="3"/>
  <c r="H14" i="3"/>
  <c r="H13" i="3"/>
  <c r="H12" i="3"/>
  <c r="C5" i="13" s="1"/>
  <c r="H11" i="3"/>
  <c r="E22" i="13" l="1"/>
  <c r="H33" i="10"/>
  <c r="E24" i="13"/>
  <c r="H25" i="10"/>
  <c r="D21" i="13"/>
  <c r="H33" i="9"/>
  <c r="H41" i="8"/>
  <c r="H25" i="7"/>
  <c r="D9" i="13"/>
  <c r="H41" i="5"/>
  <c r="H16" i="3"/>
  <c r="H41" i="10"/>
  <c r="F27" i="13"/>
  <c r="E27" i="13"/>
  <c r="E31" i="13" s="1"/>
  <c r="F28" i="13"/>
  <c r="D28" i="13"/>
  <c r="H41" i="9"/>
  <c r="D20" i="13"/>
  <c r="F20" i="13"/>
  <c r="D15" i="13"/>
  <c r="F15" i="13"/>
  <c r="D14" i="13"/>
  <c r="F14" i="13"/>
  <c r="D13" i="13"/>
  <c r="F13" i="13"/>
  <c r="H25" i="9"/>
  <c r="D8" i="13"/>
  <c r="F8" i="13"/>
  <c r="F7" i="13"/>
  <c r="D7" i="13"/>
  <c r="D6" i="13"/>
  <c r="F6" i="13"/>
  <c r="H17" i="9"/>
  <c r="F5" i="13"/>
  <c r="D5" i="13"/>
  <c r="F29" i="13"/>
  <c r="D29" i="13"/>
  <c r="H41" i="7"/>
  <c r="D30" i="13"/>
  <c r="H41" i="6"/>
  <c r="F30" i="13"/>
  <c r="C30" i="13"/>
  <c r="C31" i="13" s="1"/>
  <c r="C23" i="13"/>
  <c r="F23" i="13"/>
  <c r="C22" i="13"/>
  <c r="F22" i="13"/>
  <c r="C21" i="13"/>
  <c r="F21" i="13"/>
  <c r="C16" i="13"/>
  <c r="C17" i="13" s="1"/>
  <c r="F16" i="13"/>
  <c r="E17" i="13"/>
  <c r="D24" i="13" l="1"/>
  <c r="D17" i="13"/>
  <c r="D10" i="13"/>
  <c r="F17" i="13"/>
  <c r="D5" i="14" s="1"/>
  <c r="C24" i="13"/>
  <c r="F9" i="13"/>
  <c r="F10" i="13" s="1"/>
  <c r="D4" i="14" s="1"/>
  <c r="C9" i="13"/>
  <c r="C10" i="13" s="1"/>
  <c r="F31" i="13"/>
  <c r="D7" i="14" s="1"/>
  <c r="D31" i="13"/>
  <c r="F24" i="13"/>
  <c r="D6" i="14" s="1"/>
  <c r="F5" i="14" l="1"/>
  <c r="E5" i="14"/>
  <c r="E4" i="14"/>
  <c r="F4" i="14"/>
  <c r="F7" i="14"/>
  <c r="E7" i="14"/>
  <c r="F6" i="14"/>
  <c r="E6" i="14"/>
</calcChain>
</file>

<file path=xl/sharedStrings.xml><?xml version="1.0" encoding="utf-8"?>
<sst xmlns="http://schemas.openxmlformats.org/spreadsheetml/2006/main" count="1571" uniqueCount="193">
  <si>
    <t>SEZIONE A — Informazioni generali</t>
  </si>
  <si>
    <t>A1</t>
  </si>
  <si>
    <t>Quanti anni hai?</t>
  </si>
  <si>
    <t>Meno di 25</t>
  </si>
  <si>
    <t>25–40</t>
  </si>
  <si>
    <t>41–60</t>
  </si>
  <si>
    <t>Oltre 60</t>
  </si>
  <si>
    <t>A2</t>
  </si>
  <si>
    <t>Con quale frequenza usi uno smartphone?</t>
  </si>
  <si>
    <t>Ogni giorno</t>
  </si>
  <si>
    <t>Qualche volta a settimana</t>
  </si>
  <si>
    <t>Raramente</t>
  </si>
  <si>
    <t>Mai</t>
  </si>
  <si>
    <t>A3</t>
  </si>
  <si>
    <t>Con quale frequenza usi un computer o tablet?</t>
  </si>
  <si>
    <t>A4</t>
  </si>
  <si>
    <t>Hai mai usato app o siti per conservare foto o ricordi di famiglia?</t>
  </si>
  <si>
    <t>Sì</t>
  </si>
  <si>
    <t>No</t>
  </si>
  <si>
    <t>SEZIONE B — Facilità d'uso (ISE)</t>
  </si>
  <si>
    <t>Item</t>
  </si>
  <si>
    <t>Affermazione</t>
  </si>
  <si>
    <t>Valore</t>
  </si>
  <si>
    <t>B1</t>
  </si>
  <si>
    <t>Ho trovato il sistema facile da usare fin da subito</t>
  </si>
  <si>
    <t>B2</t>
  </si>
  <si>
    <t>Ho capito subito cosa fare in ogni schermata</t>
  </si>
  <si>
    <t>B3</t>
  </si>
  <si>
    <t>Non ho avuto bisogno di aiuto per completare i compiti</t>
  </si>
  <si>
    <t>B4</t>
  </si>
  <si>
    <t>Le etichette e i pulsanti erano chiari e comprensibili</t>
  </si>
  <si>
    <t>B5</t>
  </si>
  <si>
    <t>Il sistema mi ha sempre fatto capire cosa stava succedendo</t>
  </si>
  <si>
    <t>MEDIA Facilità d'uso</t>
  </si>
  <si>
    <t>SEZIONE C — Competenza percepita (IKS)</t>
  </si>
  <si>
    <t>C1</t>
  </si>
  <si>
    <t>Mi sono sentito/a capace di usare il sistema in autonomia</t>
  </si>
  <si>
    <t>C2</t>
  </si>
  <si>
    <t>Sapevo sempre quale sarebbe stato l'effetto delle mie azioni</t>
  </si>
  <si>
    <t>C3</t>
  </si>
  <si>
    <t>Non ho avuto paura di fare errori irreversibili</t>
  </si>
  <si>
    <t>C4</t>
  </si>
  <si>
    <t>Con un po' di pratica userei questo sistema senza difficoltà</t>
  </si>
  <si>
    <t>MEDIA Competenza percepita</t>
  </si>
  <si>
    <t>SEZIONE D — Senso di controllo (IPC)</t>
  </si>
  <si>
    <t>D1</t>
  </si>
  <si>
    <t>Ho sempre saputo dove mi trovavo all'interno del sistema</t>
  </si>
  <si>
    <t>D2</t>
  </si>
  <si>
    <t>Ho potuto tornare indietro o correggere facilmente gli errori</t>
  </si>
  <si>
    <t>D3</t>
  </si>
  <si>
    <t>Il sistema ha risposto in modo coerente con quello che mi aspettavo</t>
  </si>
  <si>
    <t>D4</t>
  </si>
  <si>
    <t>Mi sono sentito/a in controllo dell'interazione in ogni momento</t>
  </si>
  <si>
    <t>MEDIA Senso di controllo</t>
  </si>
  <si>
    <t>SEZIONE E — Motivazione e coinvolgimento (IMOT)</t>
  </si>
  <si>
    <t>E1</t>
  </si>
  <si>
    <t>Ho trovato il sistema interessante e coinvolgente</t>
  </si>
  <si>
    <t>E2</t>
  </si>
  <si>
    <t>Userei questo sistema per raccogliere i ricordi della mia famiglia</t>
  </si>
  <si>
    <t>E3</t>
  </si>
  <si>
    <t>L'esperienza mi ha fatto venire voglia di esplorare di più</t>
  </si>
  <si>
    <t>E4</t>
  </si>
  <si>
    <t>Il sistema mi ha fatto sentire che stavo facendo qualcosa di significativo</t>
  </si>
  <si>
    <t>MEDIA Motivazione e coinvolgimento</t>
  </si>
  <si>
    <t>SEZIONE F — Domande sui task</t>
  </si>
  <si>
    <t>F1a</t>
  </si>
  <si>
    <t>T1 · Come hai trovato la conversazione guidata con Iris?</t>
  </si>
  <si>
    <t>F1b</t>
  </si>
  <si>
    <t>T1 · C'è qualcosa che Iris avrebbe dovuto chiederti e non ti ha chiesto?</t>
  </si>
  <si>
    <t>F2a</t>
  </si>
  <si>
    <t>T3 · Aggiungere un familiare all'albero è stato:</t>
  </si>
  <si>
    <t>F2b</t>
  </si>
  <si>
    <t>T3 · Hai capito subito come collegare il nuovo membro alle persone già presenti?</t>
  </si>
  <si>
    <t>F3</t>
  </si>
  <si>
    <t>T4 · Navigare la timeline è stato:</t>
  </si>
  <si>
    <t>F4</t>
  </si>
  <si>
    <t>T6 · Hai trovato facilmente dove invitare un familiare?</t>
  </si>
  <si>
    <t>SEZIONE G — Valutazione complessiva</t>
  </si>
  <si>
    <t>G1</t>
  </si>
  <si>
    <t>Valuta la tua esperienza complessiva con Memory Bridge:</t>
  </si>
  <si>
    <t>G2</t>
  </si>
  <si>
    <t>Consiglieresti Memory Bridge a un familiare?</t>
  </si>
  <si>
    <t>G3</t>
  </si>
  <si>
    <t>Qual è la cosa che ti è piaciuta di più?</t>
  </si>
  <si>
    <t>G4</t>
  </si>
  <si>
    <t>Qual è la cosa che cambieresti subito?</t>
  </si>
  <si>
    <t>G5</t>
  </si>
  <si>
    <t>C'è qualcosa che ti aspettavi di trovare e non c'era?</t>
  </si>
  <si>
    <t>X</t>
  </si>
  <si>
    <t>Molto naturale</t>
  </si>
  <si>
    <t>Abbastanza semplice</t>
  </si>
  <si>
    <t>Dopo un po'</t>
  </si>
  <si>
    <t>Abbastanza intuitivo</t>
  </si>
  <si>
    <t>Dopo qualche tentativo</t>
  </si>
  <si>
    <t>5 — Molto positiva</t>
  </si>
  <si>
    <t>Certamente sì</t>
  </si>
  <si>
    <t>Il nome del mio paese natale non è stato registrato la prima volta.</t>
  </si>
  <si>
    <t>Un po' difficile</t>
  </si>
  <si>
    <t>4 — Positiva</t>
  </si>
  <si>
    <t>Se sì, quali: Google Foto (poco)</t>
  </si>
  <si>
    <t>Sì, subito</t>
  </si>
  <si>
    <t>Molto intuitivo</t>
  </si>
  <si>
    <t>L'idea che i miei nipoti possano rileggere le mie storie tra vent'anni.</t>
  </si>
  <si>
    <t>Un breve tutorial iniziale con esempi concreti aiuterebbe chi non ha molta pratica.</t>
  </si>
  <si>
    <t>Se sì, quali: Google Foto, iCloud</t>
  </si>
  <si>
    <t>Potrebbe chiedere una parola-chiave per taggare il ricordo.</t>
  </si>
  <si>
    <t>Molto semplice</t>
  </si>
  <si>
    <t>Se sì, quali: FamilySearch (poco)</t>
  </si>
  <si>
    <t>Nulla di importante, l'intervista è ben strutturata.</t>
  </si>
  <si>
    <t>La sensazione che il sistema mi guidi senza però decidere al mio posto.</t>
  </si>
  <si>
    <t>Notifiche quando un familiare aggiunge un nuovo ricordo.</t>
  </si>
  <si>
    <t>Se sì, quali: Google Foto</t>
  </si>
  <si>
    <t>Chiedere se il ricordo va condiviso subito o resta privato.</t>
  </si>
  <si>
    <t>Un'importazione dei contatti dalla rubrica per popolare l'albero.</t>
  </si>
  <si>
    <t>Se sì, quali: iCloud</t>
  </si>
  <si>
    <t>Se sì, quali: Instagram, Google Foto</t>
  </si>
  <si>
    <t>Abbastanza naturale</t>
  </si>
  <si>
    <t>Domande più flessibili, che seguano davvero il flusso del racconto.</t>
  </si>
  <si>
    <t>Probabilmente sì</t>
  </si>
  <si>
    <t>Uno slideshow condivisibile in stile stories, per farne vedere un estratto agli amici.</t>
  </si>
  <si>
    <t>Domande sul contesto storico (guerre, migrazioni) per contestualizzare i ricordi.</t>
  </si>
  <si>
    <t>Aggiungerei scorciatoie da tastiera per chi usa il desktop.</t>
  </si>
  <si>
    <t>Un'API o un modo per esportare i dati in un formato aperto.</t>
  </si>
  <si>
    <t>Nulla di rilevante.</t>
  </si>
  <si>
    <t>MEMORY BRIDGE · Medie per item — Post-test (10 partecipanti)</t>
  </si>
  <si>
    <t>Media Totale</t>
  </si>
  <si>
    <t>Descrizione</t>
  </si>
  <si>
    <t>ISE</t>
  </si>
  <si>
    <t>IKS</t>
  </si>
  <si>
    <t>IPC</t>
  </si>
  <si>
    <t>IMOT</t>
  </si>
  <si>
    <t>Per niente d'accordo</t>
  </si>
  <si>
    <t>Poco d'accordo</t>
  </si>
  <si>
    <t>Abbastanza d'accordo</t>
  </si>
  <si>
    <t>Molto d'accordo</t>
  </si>
  <si>
    <t>Completamente d'accordo</t>
  </si>
  <si>
    <t xml:space="preserve">Ogni giorno </t>
  </si>
  <si>
    <t>No.</t>
  </si>
  <si>
    <t>La conversazione con Iris.</t>
  </si>
  <si>
    <t>Vorrei caratteri più grandi e magari poter leggere ad alta voce.</t>
  </si>
  <si>
    <t>Non credo</t>
  </si>
  <si>
    <t xml:space="preserve">Qualche volta a settimana </t>
  </si>
  <si>
    <t xml:space="preserve">No </t>
  </si>
  <si>
    <t xml:space="preserve">Raramente </t>
  </si>
  <si>
    <t xml:space="preserve">Oltre 60 </t>
  </si>
  <si>
    <t>Simpatica</t>
  </si>
  <si>
    <t>Poter esplorare un albero genealogico</t>
  </si>
  <si>
    <t>All'inizio non riuscivo a trovare i bottoni nell'albero genealogico</t>
  </si>
  <si>
    <t xml:space="preserve">Un pulsante per contattare direttamente un familiare </t>
  </si>
  <si>
    <t xml:space="preserve">Sì </t>
  </si>
  <si>
    <t>La possibilità di allegare foto o video al ricordo.</t>
  </si>
  <si>
    <t>La chat con Iris</t>
  </si>
  <si>
    <t>Niente</t>
  </si>
  <si>
    <t xml:space="preserve">41–60 </t>
  </si>
  <si>
    <t>Si</t>
  </si>
  <si>
    <t>Userei meno colori</t>
  </si>
  <si>
    <t>L'assistente Iris.</t>
  </si>
  <si>
    <t>Vorrei più opzioni di privacy sulla condivisione.</t>
  </si>
  <si>
    <t>L'assistente potrebbe suggerire domande più vaste</t>
  </si>
  <si>
    <t>Poter scorrere la timeline di persone specifiche</t>
  </si>
  <si>
    <t>Non saprei</t>
  </si>
  <si>
    <t xml:space="preserve">Meno di 25 </t>
  </si>
  <si>
    <t>L'interfaccia pulita e moderna.</t>
  </si>
  <si>
    <t>Il linguaggio dell'assistente Iris un po' macchinoso.</t>
  </si>
  <si>
    <t>L'interfaccia e la fluidità dell'interazione.</t>
  </si>
  <si>
    <t>Se sì, quali: Google Foto, TikTok</t>
  </si>
  <si>
    <t xml:space="preserve">Ogni giorno  </t>
  </si>
  <si>
    <t xml:space="preserve">Sì  </t>
  </si>
  <si>
    <t>L'idea di dare voce ai nonni: mi ha fatto pensare di fare l'intervista subito alla mia.</t>
  </si>
  <si>
    <t>Vorrei un tema scuro per l'interfaccia.</t>
  </si>
  <si>
    <t>La possibilità di condividere contenuti sui social.</t>
  </si>
  <si>
    <t>Profilo A</t>
  </si>
  <si>
    <t>Profilo B</t>
  </si>
  <si>
    <t>Profilo C</t>
  </si>
  <si>
    <t xml:space="preserve">Facilità d'uso </t>
  </si>
  <si>
    <t xml:space="preserve">Competenza percepita </t>
  </si>
  <si>
    <t xml:space="preserve">Senso di controllo </t>
  </si>
  <si>
    <t xml:space="preserve">Motivazione e coinvolgimento </t>
  </si>
  <si>
    <t>Assignment 4</t>
  </si>
  <si>
    <t>Differenza</t>
  </si>
  <si>
    <t>Differenza %</t>
  </si>
  <si>
    <t>Assignment 1</t>
  </si>
  <si>
    <t>MEMORY BRIDGE · Confronto valori empowerment Assignment 1 vs Assignment 4</t>
  </si>
  <si>
    <t>P01 (Anna, 68 anni · Profilo A)</t>
  </si>
  <si>
    <t>P02 (Giuseppe, 72 anni · Profilo A)</t>
  </si>
  <si>
    <t>P03 (Rosanna, 65 anni · Profilo A)</t>
  </si>
  <si>
    <t xml:space="preserve"> P04 (Marco B., 45 anni · Profilo B)</t>
  </si>
  <si>
    <t>P05 (Elena, 52 anni · Profilo B)</t>
  </si>
  <si>
    <t xml:space="preserve"> P06 (Paolo, 48 anni · Profilo B)</t>
  </si>
  <si>
    <t>P07 (Chiara, 42 anni · Profilo B)</t>
  </si>
  <si>
    <t xml:space="preserve"> P08 (Sofia, 22 anni · Profilo C)</t>
  </si>
  <si>
    <t>P09 (Luca, 24 anni · Profilo C)</t>
  </si>
  <si>
    <t>P10 (Alexandra, 20 anni · Profilo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</si>
</sst>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.00;\-0.00"/>
    <numFmt numFmtId="165" formatCode="\+0.0%;\-0.0%"/>
  </numFmts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Calibri"/>
      <family val="2"/>
    </font>
    <font>
      <i/>
      <sz val="10"/>
      <color rgb="FF555555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0"/>
      <name val="Calibri"/>
      <family val="2"/>
    </font>
    <font>
      <sz val="11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i/>
      <sz val="10"/>
      <color theme="1"/>
      <name val="Calibri"/>
      <family val="2"/>
    </font>
    <font>
      <i/>
      <sz val="10"/>
      <name val="Calibri"/>
      <family val="2"/>
    </font>
    <font>
      <i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CBDEDE"/>
        <bgColor rgb="FFE7EFEF"/>
      </patternFill>
    </fill>
    <fill>
      <patternFill patternType="solid">
        <fgColor rgb="FF9BC4C4"/>
        <bgColor rgb="FFA5D6A7"/>
      </patternFill>
    </fill>
    <fill>
      <patternFill patternType="solid">
        <fgColor rgb="FFFFF4C7"/>
        <bgColor rgb="FFFFFF99"/>
      </patternFill>
    </fill>
    <fill>
      <patternFill patternType="solid">
        <fgColor theme="0"/>
        <bgColor rgb="FFE7EFE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9BC4C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4" borderId="0" xfId="0" applyFont="1" applyFill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9" borderId="1" xfId="0" applyFont="1" applyFill="1" applyBorder="1"/>
    <xf numFmtId="0" fontId="6" fillId="6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0" xfId="0" applyFont="1" applyFill="1"/>
    <xf numFmtId="0" fontId="3" fillId="5" borderId="0" xfId="0" applyFont="1" applyFill="1" applyAlignment="1">
      <alignment horizontal="left" vertical="center" wrapText="1"/>
    </xf>
    <xf numFmtId="2" fontId="3" fillId="5" borderId="0" xfId="0" applyNumberFormat="1" applyFont="1" applyFill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9" borderId="0" xfId="0" applyFont="1" applyFill="1" applyBorder="1"/>
    <xf numFmtId="0" fontId="7" fillId="2" borderId="0" xfId="0" applyFont="1" applyFill="1" applyAlignment="1">
      <alignment horizontal="center" vertical="center" wrapText="1"/>
    </xf>
    <xf numFmtId="0" fontId="8" fillId="0" borderId="0" xfId="0" applyFont="1"/>
    <xf numFmtId="0" fontId="9" fillId="4" borderId="0" xfId="0" applyFont="1" applyFill="1" applyAlignment="1">
      <alignment horizontal="left" vertical="center" wrapText="1"/>
    </xf>
    <xf numFmtId="0" fontId="8" fillId="5" borderId="0" xfId="0" applyFont="1" applyFill="1"/>
    <xf numFmtId="0" fontId="10" fillId="5" borderId="0" xfId="0" applyFont="1" applyFill="1" applyAlignment="1">
      <alignment horizontal="left" vertical="center" wrapText="1"/>
    </xf>
    <xf numFmtId="2" fontId="10" fillId="5" borderId="0" xfId="0" applyNumberFormat="1" applyFont="1" applyFill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9" borderId="1" xfId="0" applyFont="1" applyFill="1" applyBorder="1"/>
    <xf numFmtId="0" fontId="11" fillId="6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2" fontId="4" fillId="7" borderId="1" xfId="0" applyNumberFormat="1" applyFont="1" applyFill="1" applyBorder="1" applyAlignment="1">
      <alignment horizontal="center" vertical="center" wrapText="1"/>
    </xf>
    <xf numFmtId="2" fontId="3" fillId="7" borderId="1" xfId="0" applyNumberFormat="1" applyFont="1" applyFill="1" applyBorder="1" applyAlignment="1">
      <alignment horizontal="center" vertical="center" wrapText="1"/>
    </xf>
    <xf numFmtId="2" fontId="4" fillId="6" borderId="1" xfId="0" applyNumberFormat="1" applyFont="1" applyFill="1" applyBorder="1" applyAlignment="1">
      <alignment horizontal="center" vertical="center" wrapText="1"/>
    </xf>
    <xf numFmtId="2" fontId="3" fillId="6" borderId="1" xfId="0" applyNumberFormat="1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164" fontId="4" fillId="7" borderId="1" xfId="0" applyNumberFormat="1" applyFont="1" applyFill="1" applyBorder="1" applyAlignment="1">
      <alignment horizontal="center" vertical="center" wrapText="1"/>
    </xf>
    <xf numFmtId="165" fontId="4" fillId="7" borderId="1" xfId="0" applyNumberFormat="1" applyFont="1" applyFill="1" applyBorder="1" applyAlignment="1">
      <alignment horizontal="center" vertical="center" wrapText="1"/>
    </xf>
    <xf numFmtId="2" fontId="14" fillId="6" borderId="1" xfId="0" applyNumberFormat="1" applyFont="1" applyFill="1" applyBorder="1" applyAlignment="1">
      <alignment horizontal="center" vertical="center" wrapText="1"/>
    </xf>
    <xf numFmtId="2" fontId="14" fillId="7" borderId="1" xfId="0" applyNumberFormat="1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5D6A7"/>
      <rgbColor rgb="FF808080"/>
      <rgbColor rgb="FF9999FF"/>
      <rgbColor rgb="FF993366"/>
      <rgbColor rgb="FFFFF4C7"/>
      <rgbColor rgb="FFE7EFEF"/>
      <rgbColor rgb="FF660066"/>
      <rgbColor rgb="FFFF8080"/>
      <rgbColor rgb="FF0066CC"/>
      <rgbColor rgb="FFCBDE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BC4C4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showGridLines="0" zoomScaleNormal="100" workbookViewId="0">
      <pane ySplit="2" topLeftCell="A3" activePane="bottomLeft" state="frozen"/>
      <selection pane="bottomLeft" sqref="A1:H1"/>
    </sheetView>
  </sheetViews>
  <sheetFormatPr defaultColWidth="8.6640625" defaultRowHeight="14.4" x14ac:dyDescent="0.3"/>
  <cols>
    <col min="1" max="1" width="10" style="4" customWidth="1"/>
    <col min="2" max="2" width="62" style="4" customWidth="1"/>
    <col min="3" max="7" width="15" style="4" customWidth="1"/>
    <col min="8" max="8" width="10" style="4" customWidth="1"/>
    <col min="9" max="16384" width="8.6640625" style="4"/>
  </cols>
  <sheetData>
    <row r="1" spans="1:8" ht="31.5" customHeight="1" x14ac:dyDescent="0.3">
      <c r="A1" s="21" t="s">
        <v>183</v>
      </c>
      <c r="B1" s="21"/>
      <c r="C1" s="21"/>
      <c r="D1" s="21"/>
      <c r="E1" s="21"/>
      <c r="F1" s="21"/>
      <c r="G1" s="21"/>
      <c r="H1" s="21"/>
    </row>
    <row r="3" spans="1:8" ht="27.75" customHeight="1" x14ac:dyDescent="0.3">
      <c r="A3" s="5" t="s">
        <v>0</v>
      </c>
      <c r="B3" s="5"/>
      <c r="C3" s="5"/>
      <c r="D3" s="5"/>
      <c r="E3" s="5"/>
      <c r="F3" s="5"/>
      <c r="G3" s="5"/>
      <c r="H3" s="5"/>
    </row>
    <row r="4" spans="1:8" ht="24" customHeight="1" x14ac:dyDescent="0.3">
      <c r="A4" s="6" t="s">
        <v>1</v>
      </c>
      <c r="B4" s="7" t="s">
        <v>2</v>
      </c>
      <c r="C4" s="8" t="s">
        <v>3</v>
      </c>
      <c r="D4" s="8" t="s">
        <v>4</v>
      </c>
      <c r="E4" s="8" t="s">
        <v>5</v>
      </c>
      <c r="F4" s="3" t="s">
        <v>6</v>
      </c>
    </row>
    <row r="5" spans="1:8" ht="24" customHeight="1" x14ac:dyDescent="0.3">
      <c r="A5" s="9" t="s">
        <v>7</v>
      </c>
      <c r="B5" s="10" t="s">
        <v>8</v>
      </c>
      <c r="C5" s="3" t="s">
        <v>136</v>
      </c>
      <c r="D5" s="8" t="s">
        <v>10</v>
      </c>
      <c r="E5" s="8" t="s">
        <v>11</v>
      </c>
      <c r="F5" s="8" t="s">
        <v>12</v>
      </c>
    </row>
    <row r="6" spans="1:8" ht="24" customHeight="1" x14ac:dyDescent="0.3">
      <c r="A6" s="6" t="s">
        <v>13</v>
      </c>
      <c r="B6" s="7" t="s">
        <v>14</v>
      </c>
      <c r="C6" s="8" t="s">
        <v>9</v>
      </c>
      <c r="D6" s="8" t="s">
        <v>10</v>
      </c>
      <c r="E6" s="3" t="s">
        <v>11</v>
      </c>
      <c r="F6" s="8" t="s">
        <v>12</v>
      </c>
    </row>
    <row r="7" spans="1:8" ht="24" customHeight="1" x14ac:dyDescent="0.3">
      <c r="A7" s="9" t="s">
        <v>15</v>
      </c>
      <c r="B7" s="10" t="s">
        <v>16</v>
      </c>
      <c r="C7" s="8" t="s">
        <v>17</v>
      </c>
      <c r="D7" s="3" t="s">
        <v>18</v>
      </c>
      <c r="E7" s="11"/>
      <c r="F7" s="11"/>
    </row>
    <row r="9" spans="1:8" ht="27.75" customHeight="1" x14ac:dyDescent="0.3">
      <c r="A9" s="5" t="s">
        <v>19</v>
      </c>
      <c r="B9" s="5"/>
      <c r="C9" s="5"/>
      <c r="D9" s="5"/>
      <c r="E9" s="5"/>
      <c r="F9" s="5"/>
      <c r="G9" s="5"/>
      <c r="H9" s="5"/>
    </row>
    <row r="10" spans="1:8" ht="33.75" customHeight="1" x14ac:dyDescent="0.3">
      <c r="A10" s="12" t="s">
        <v>20</v>
      </c>
      <c r="B10" s="12" t="s">
        <v>21</v>
      </c>
      <c r="C10" s="12" t="s">
        <v>131</v>
      </c>
      <c r="D10" s="12" t="s">
        <v>132</v>
      </c>
      <c r="E10" s="12" t="s">
        <v>133</v>
      </c>
      <c r="F10" s="12" t="s">
        <v>134</v>
      </c>
      <c r="G10" s="12" t="s">
        <v>135</v>
      </c>
      <c r="H10" s="12" t="s">
        <v>22</v>
      </c>
    </row>
    <row r="11" spans="1:8" ht="25.5" customHeight="1" x14ac:dyDescent="0.3">
      <c r="A11" s="9" t="s">
        <v>23</v>
      </c>
      <c r="B11" s="10" t="s">
        <v>24</v>
      </c>
      <c r="C11" s="8"/>
      <c r="D11" s="8"/>
      <c r="E11" s="8"/>
      <c r="F11" s="13" t="s">
        <v>88</v>
      </c>
      <c r="G11" s="8"/>
      <c r="H11" s="8">
        <f>IF(C11="X",1)+IF(D11="X",2)+IF(E11="X",3)+IF(F11="X",4)+IF(G11="X",5)</f>
        <v>4</v>
      </c>
    </row>
    <row r="12" spans="1:8" ht="25.5" customHeight="1" x14ac:dyDescent="0.3">
      <c r="A12" s="6" t="s">
        <v>25</v>
      </c>
      <c r="B12" s="7" t="s">
        <v>26</v>
      </c>
      <c r="C12" s="14"/>
      <c r="D12" s="14"/>
      <c r="E12" s="14"/>
      <c r="F12" s="13" t="s">
        <v>88</v>
      </c>
      <c r="G12" s="14"/>
      <c r="H12" s="14">
        <f>IF(C12="X",1)+IF(D12="X",2)+IF(E12="X",3)+IF(F12="X",4)+IF(G12="X",5)</f>
        <v>4</v>
      </c>
    </row>
    <row r="13" spans="1:8" ht="25.5" customHeight="1" x14ac:dyDescent="0.3">
      <c r="A13" s="9" t="s">
        <v>27</v>
      </c>
      <c r="B13" s="10" t="s">
        <v>28</v>
      </c>
      <c r="C13" s="8"/>
      <c r="D13" s="8"/>
      <c r="E13" s="13" t="s">
        <v>88</v>
      </c>
      <c r="F13" s="8"/>
      <c r="G13" s="8"/>
      <c r="H13" s="8">
        <f>IF(C13="X",1)+IF(D13="X",2)+IF(E13="X",3)+IF(F13="X",4)+IF(G13="X",5)</f>
        <v>3</v>
      </c>
    </row>
    <row r="14" spans="1:8" ht="25.5" customHeight="1" x14ac:dyDescent="0.3">
      <c r="A14" s="6" t="s">
        <v>29</v>
      </c>
      <c r="B14" s="7" t="s">
        <v>30</v>
      </c>
      <c r="C14" s="14"/>
      <c r="D14" s="14"/>
      <c r="E14" s="14"/>
      <c r="F14" s="14"/>
      <c r="G14" s="13" t="s">
        <v>88</v>
      </c>
      <c r="H14" s="14">
        <f>IF(C14="X",1)+IF(D14="X",2)+IF(E14="X",3)+IF(F14="X",4)+IF(G14="X",5)</f>
        <v>5</v>
      </c>
    </row>
    <row r="15" spans="1:8" ht="25.5" customHeight="1" x14ac:dyDescent="0.3">
      <c r="A15" s="9" t="s">
        <v>31</v>
      </c>
      <c r="B15" s="10" t="s">
        <v>32</v>
      </c>
      <c r="C15" s="8"/>
      <c r="D15" s="8"/>
      <c r="E15" s="8"/>
      <c r="F15" s="8"/>
      <c r="G15" s="13" t="s">
        <v>88</v>
      </c>
      <c r="H15" s="8">
        <f>IF(C15="X",1)+IF(D15="X",2)+IF(E15="X",3)+IF(F15="X",4)+IF(G15="X",5)</f>
        <v>5</v>
      </c>
    </row>
    <row r="16" spans="1:8" ht="24" customHeight="1" x14ac:dyDescent="0.3">
      <c r="A16" s="15"/>
      <c r="B16" s="16" t="s">
        <v>33</v>
      </c>
      <c r="C16" s="15"/>
      <c r="D16" s="15"/>
      <c r="E16" s="15"/>
      <c r="F16" s="15"/>
      <c r="G16" s="15"/>
      <c r="H16" s="17">
        <f>AVERAGE(H11:H15)</f>
        <v>4.2</v>
      </c>
    </row>
    <row r="18" spans="1:8" ht="27.75" customHeight="1" x14ac:dyDescent="0.3">
      <c r="A18" s="5" t="s">
        <v>34</v>
      </c>
      <c r="B18" s="5"/>
      <c r="C18" s="5"/>
      <c r="D18" s="5"/>
      <c r="E18" s="5"/>
      <c r="F18" s="5"/>
      <c r="G18" s="5"/>
      <c r="H18" s="5"/>
    </row>
    <row r="19" spans="1:8" ht="33.75" customHeight="1" x14ac:dyDescent="0.3">
      <c r="A19" s="12" t="s">
        <v>20</v>
      </c>
      <c r="B19" s="12" t="s">
        <v>21</v>
      </c>
      <c r="C19" s="12" t="s">
        <v>131</v>
      </c>
      <c r="D19" s="12" t="s">
        <v>132</v>
      </c>
      <c r="E19" s="12" t="s">
        <v>133</v>
      </c>
      <c r="F19" s="12" t="s">
        <v>134</v>
      </c>
      <c r="G19" s="12" t="s">
        <v>135</v>
      </c>
      <c r="H19" s="12" t="s">
        <v>22</v>
      </c>
    </row>
    <row r="20" spans="1:8" ht="25.5" customHeight="1" x14ac:dyDescent="0.3">
      <c r="A20" s="6" t="s">
        <v>35</v>
      </c>
      <c r="B20" s="7" t="s">
        <v>36</v>
      </c>
      <c r="C20" s="14"/>
      <c r="D20" s="14"/>
      <c r="E20" s="14"/>
      <c r="F20" s="13" t="s">
        <v>88</v>
      </c>
      <c r="G20" s="14"/>
      <c r="H20" s="14">
        <f>IF(C20="X",1)+IF(D20="X",2)+IF(E20="X",3)+IF(F20="X",4)+IF(G20="X",5)</f>
        <v>4</v>
      </c>
    </row>
    <row r="21" spans="1:8" ht="25.5" customHeight="1" x14ac:dyDescent="0.3">
      <c r="A21" s="9" t="s">
        <v>37</v>
      </c>
      <c r="B21" s="10" t="s">
        <v>38</v>
      </c>
      <c r="C21" s="8"/>
      <c r="D21" s="8"/>
      <c r="E21" s="8"/>
      <c r="F21" s="13" t="s">
        <v>88</v>
      </c>
      <c r="G21" s="8"/>
      <c r="H21" s="8">
        <f>IF(C21="X",1)+IF(D21="X",2)+IF(E21="X",3)+IF(F21="X",4)+IF(G21="X",5)</f>
        <v>4</v>
      </c>
    </row>
    <row r="22" spans="1:8" ht="25.5" customHeight="1" x14ac:dyDescent="0.3">
      <c r="A22" s="6" t="s">
        <v>39</v>
      </c>
      <c r="B22" s="7" t="s">
        <v>40</v>
      </c>
      <c r="C22" s="14"/>
      <c r="D22" s="14"/>
      <c r="E22" s="14"/>
      <c r="F22" s="14"/>
      <c r="G22" s="13" t="s">
        <v>88</v>
      </c>
      <c r="H22" s="14">
        <f>IF(C22="X",1)+IF(D22="X",2)+IF(E22="X",3)+IF(F22="X",4)+IF(G22="X",5)</f>
        <v>5</v>
      </c>
    </row>
    <row r="23" spans="1:8" ht="25.5" customHeight="1" x14ac:dyDescent="0.3">
      <c r="A23" s="9" t="s">
        <v>41</v>
      </c>
      <c r="B23" s="10" t="s">
        <v>42</v>
      </c>
      <c r="C23" s="8"/>
      <c r="D23" s="8"/>
      <c r="E23" s="8"/>
      <c r="F23" s="8"/>
      <c r="G23" s="13" t="s">
        <v>88</v>
      </c>
      <c r="H23" s="8">
        <f>IF(C23="X",1)+IF(D23="X",2)+IF(E23="X",3)+IF(F23="X",4)+IF(G23="X",5)</f>
        <v>5</v>
      </c>
    </row>
    <row r="24" spans="1:8" ht="24" customHeight="1" x14ac:dyDescent="0.3">
      <c r="A24" s="15"/>
      <c r="B24" s="16" t="s">
        <v>43</v>
      </c>
      <c r="C24" s="15"/>
      <c r="D24" s="15"/>
      <c r="E24" s="15"/>
      <c r="F24" s="15"/>
      <c r="G24" s="15"/>
      <c r="H24" s="17">
        <f>AVERAGE(H20:H23)</f>
        <v>4.5</v>
      </c>
    </row>
    <row r="26" spans="1:8" ht="27.75" customHeight="1" x14ac:dyDescent="0.3">
      <c r="A26" s="5" t="s">
        <v>44</v>
      </c>
      <c r="B26" s="5"/>
      <c r="C26" s="5"/>
      <c r="D26" s="5"/>
      <c r="E26" s="5"/>
      <c r="F26" s="5"/>
      <c r="G26" s="5"/>
      <c r="H26" s="5"/>
    </row>
    <row r="27" spans="1:8" ht="33.75" customHeight="1" x14ac:dyDescent="0.3">
      <c r="A27" s="12" t="s">
        <v>20</v>
      </c>
      <c r="B27" s="12" t="s">
        <v>21</v>
      </c>
      <c r="C27" s="12" t="s">
        <v>131</v>
      </c>
      <c r="D27" s="12" t="s">
        <v>132</v>
      </c>
      <c r="E27" s="12" t="s">
        <v>133</v>
      </c>
      <c r="F27" s="12" t="s">
        <v>134</v>
      </c>
      <c r="G27" s="12" t="s">
        <v>135</v>
      </c>
      <c r="H27" s="12" t="s">
        <v>22</v>
      </c>
    </row>
    <row r="28" spans="1:8" ht="25.5" customHeight="1" x14ac:dyDescent="0.3">
      <c r="A28" s="6" t="s">
        <v>45</v>
      </c>
      <c r="B28" s="7" t="s">
        <v>46</v>
      </c>
      <c r="C28" s="14"/>
      <c r="D28" s="14"/>
      <c r="E28" s="14"/>
      <c r="F28" s="13" t="s">
        <v>88</v>
      </c>
      <c r="G28" s="14"/>
      <c r="H28" s="14">
        <f>IF(C28="X",1)+IF(D28="X",2)+IF(E28="X",3)+IF(F28="X",4)+IF(G28="X",5)</f>
        <v>4</v>
      </c>
    </row>
    <row r="29" spans="1:8" ht="25.5" customHeight="1" x14ac:dyDescent="0.3">
      <c r="A29" s="9" t="s">
        <v>47</v>
      </c>
      <c r="B29" s="10" t="s">
        <v>48</v>
      </c>
      <c r="C29" s="8"/>
      <c r="D29" s="8"/>
      <c r="E29" s="8"/>
      <c r="F29" s="8"/>
      <c r="G29" s="13" t="s">
        <v>88</v>
      </c>
      <c r="H29" s="8">
        <f>IF(C29="X",1)+IF(D29="X",2)+IF(E29="X",3)+IF(F29="X",4)+IF(G29="X",5)</f>
        <v>5</v>
      </c>
    </row>
    <row r="30" spans="1:8" ht="25.5" customHeight="1" x14ac:dyDescent="0.3">
      <c r="A30" s="6" t="s">
        <v>49</v>
      </c>
      <c r="B30" s="7" t="s">
        <v>50</v>
      </c>
      <c r="C30" s="14"/>
      <c r="D30" s="14"/>
      <c r="E30" s="14"/>
      <c r="F30" s="13" t="s">
        <v>88</v>
      </c>
      <c r="G30" s="14"/>
      <c r="H30" s="14">
        <f>IF(C30="X",1)+IF(D30="X",2)+IF(E30="X",3)+IF(F30="X",4)+IF(G30="X",5)</f>
        <v>4</v>
      </c>
    </row>
    <row r="31" spans="1:8" ht="25.5" customHeight="1" x14ac:dyDescent="0.3">
      <c r="A31" s="9" t="s">
        <v>51</v>
      </c>
      <c r="B31" s="10" t="s">
        <v>52</v>
      </c>
      <c r="C31" s="8"/>
      <c r="D31" s="8"/>
      <c r="E31" s="8"/>
      <c r="F31" s="13" t="s">
        <v>88</v>
      </c>
      <c r="G31" s="8"/>
      <c r="H31" s="8">
        <f>IF(C31="X",1)+IF(D31="X",2)+IF(E31="X",3)+IF(F31="X",4)+IF(G31="X",5)</f>
        <v>4</v>
      </c>
    </row>
    <row r="32" spans="1:8" ht="24" customHeight="1" x14ac:dyDescent="0.3">
      <c r="A32" s="15"/>
      <c r="B32" s="16" t="s">
        <v>53</v>
      </c>
      <c r="C32" s="15"/>
      <c r="D32" s="15"/>
      <c r="E32" s="15"/>
      <c r="F32" s="15"/>
      <c r="G32" s="15"/>
      <c r="H32" s="17">
        <f>AVERAGE(H28:H31)</f>
        <v>4.25</v>
      </c>
    </row>
    <row r="34" spans="1:8" ht="27.75" customHeight="1" x14ac:dyDescent="0.3">
      <c r="A34" s="5" t="s">
        <v>54</v>
      </c>
      <c r="B34" s="5"/>
      <c r="C34" s="5"/>
      <c r="D34" s="5"/>
      <c r="E34" s="5"/>
      <c r="F34" s="5"/>
      <c r="G34" s="5"/>
      <c r="H34" s="5"/>
    </row>
    <row r="35" spans="1:8" ht="33.75" customHeight="1" x14ac:dyDescent="0.3">
      <c r="A35" s="12" t="s">
        <v>20</v>
      </c>
      <c r="B35" s="12" t="s">
        <v>21</v>
      </c>
      <c r="C35" s="12" t="s">
        <v>131</v>
      </c>
      <c r="D35" s="12" t="s">
        <v>132</v>
      </c>
      <c r="E35" s="12" t="s">
        <v>133</v>
      </c>
      <c r="F35" s="12" t="s">
        <v>134</v>
      </c>
      <c r="G35" s="12" t="s">
        <v>135</v>
      </c>
      <c r="H35" s="12" t="s">
        <v>22</v>
      </c>
    </row>
    <row r="36" spans="1:8" ht="25.5" customHeight="1" x14ac:dyDescent="0.3">
      <c r="A36" s="6" t="s">
        <v>55</v>
      </c>
      <c r="B36" s="7" t="s">
        <v>56</v>
      </c>
      <c r="C36" s="14"/>
      <c r="D36" s="14"/>
      <c r="E36" s="14"/>
      <c r="F36" s="14"/>
      <c r="G36" s="13" t="s">
        <v>88</v>
      </c>
      <c r="H36" s="14">
        <f>IF(C36="X",1)+IF(D36="X",2)+IF(E36="X",3)+IF(F36="X",4)+IF(G36="X",5)</f>
        <v>5</v>
      </c>
    </row>
    <row r="37" spans="1:8" ht="25.5" customHeight="1" x14ac:dyDescent="0.3">
      <c r="A37" s="9" t="s">
        <v>57</v>
      </c>
      <c r="B37" s="10" t="s">
        <v>58</v>
      </c>
      <c r="C37" s="8"/>
      <c r="D37" s="8"/>
      <c r="E37" s="8"/>
      <c r="F37" s="8"/>
      <c r="G37" s="13" t="s">
        <v>88</v>
      </c>
      <c r="H37" s="8">
        <f>IF(C37="X",1)+IF(D37="X",2)+IF(E37="X",3)+IF(F37="X",4)+IF(G37="X",5)</f>
        <v>5</v>
      </c>
    </row>
    <row r="38" spans="1:8" ht="25.5" customHeight="1" x14ac:dyDescent="0.3">
      <c r="A38" s="6" t="s">
        <v>59</v>
      </c>
      <c r="B38" s="7" t="s">
        <v>60</v>
      </c>
      <c r="C38" s="14"/>
      <c r="D38" s="14"/>
      <c r="E38" s="14"/>
      <c r="F38" s="14"/>
      <c r="G38" s="13" t="s">
        <v>88</v>
      </c>
      <c r="H38" s="14">
        <f>IF(C38="X",1)+IF(D38="X",2)+IF(E38="X",3)+IF(F38="X",4)+IF(G38="X",5)</f>
        <v>5</v>
      </c>
    </row>
    <row r="39" spans="1:8" ht="25.5" customHeight="1" x14ac:dyDescent="0.3">
      <c r="A39" s="9" t="s">
        <v>61</v>
      </c>
      <c r="B39" s="10" t="s">
        <v>62</v>
      </c>
      <c r="C39" s="8"/>
      <c r="D39" s="8"/>
      <c r="E39" s="8"/>
      <c r="F39" s="8"/>
      <c r="G39" s="13" t="s">
        <v>88</v>
      </c>
      <c r="H39" s="8">
        <f>IF(C39="X",1)+IF(D39="X",2)+IF(E39="X",3)+IF(F39="X",4)+IF(G39="X",5)</f>
        <v>5</v>
      </c>
    </row>
    <row r="40" spans="1:8" ht="24" customHeight="1" x14ac:dyDescent="0.3">
      <c r="A40" s="15"/>
      <c r="B40" s="16" t="s">
        <v>63</v>
      </c>
      <c r="C40" s="15"/>
      <c r="D40" s="15"/>
      <c r="E40" s="15"/>
      <c r="F40" s="15"/>
      <c r="G40" s="15"/>
      <c r="H40" s="17">
        <f>AVERAGE(H36:H39)</f>
        <v>5</v>
      </c>
    </row>
    <row r="42" spans="1:8" ht="27.75" customHeight="1" x14ac:dyDescent="0.3">
      <c r="A42" s="5" t="s">
        <v>64</v>
      </c>
      <c r="B42" s="5"/>
      <c r="C42" s="5"/>
      <c r="D42" s="5"/>
      <c r="E42" s="5"/>
      <c r="F42" s="5"/>
      <c r="G42" s="5"/>
      <c r="H42" s="5"/>
    </row>
    <row r="43" spans="1:8" ht="30" customHeight="1" x14ac:dyDescent="0.3">
      <c r="A43" s="9" t="s">
        <v>65</v>
      </c>
      <c r="B43" s="10" t="s">
        <v>66</v>
      </c>
      <c r="C43" s="18" t="s">
        <v>116</v>
      </c>
      <c r="D43" s="18"/>
      <c r="E43" s="18"/>
      <c r="F43" s="18"/>
      <c r="G43" s="18"/>
      <c r="H43" s="18"/>
    </row>
    <row r="44" spans="1:8" ht="30" customHeight="1" x14ac:dyDescent="0.3">
      <c r="A44" s="6" t="s">
        <v>67</v>
      </c>
      <c r="B44" s="7" t="s">
        <v>68</v>
      </c>
      <c r="C44" s="19" t="s">
        <v>140</v>
      </c>
      <c r="D44" s="19"/>
      <c r="E44" s="19"/>
      <c r="F44" s="19"/>
      <c r="G44" s="19"/>
      <c r="H44" s="19"/>
    </row>
    <row r="45" spans="1:8" ht="30" customHeight="1" x14ac:dyDescent="0.3">
      <c r="A45" s="9" t="s">
        <v>69</v>
      </c>
      <c r="B45" s="10" t="s">
        <v>70</v>
      </c>
      <c r="C45" s="18" t="s">
        <v>90</v>
      </c>
      <c r="D45" s="18"/>
      <c r="E45" s="18"/>
      <c r="F45" s="18"/>
      <c r="G45" s="18"/>
      <c r="H45" s="18"/>
    </row>
    <row r="46" spans="1:8" ht="30" customHeight="1" x14ac:dyDescent="0.3">
      <c r="A46" s="6" t="s">
        <v>71</v>
      </c>
      <c r="B46" s="7" t="s">
        <v>72</v>
      </c>
      <c r="C46" s="19" t="s">
        <v>91</v>
      </c>
      <c r="D46" s="19"/>
      <c r="E46" s="19"/>
      <c r="F46" s="19"/>
      <c r="G46" s="19"/>
      <c r="H46" s="19"/>
    </row>
    <row r="47" spans="1:8" ht="30" customHeight="1" x14ac:dyDescent="0.3">
      <c r="A47" s="9" t="s">
        <v>73</v>
      </c>
      <c r="B47" s="10" t="s">
        <v>74</v>
      </c>
      <c r="C47" s="18" t="s">
        <v>92</v>
      </c>
      <c r="D47" s="18"/>
      <c r="E47" s="18"/>
      <c r="F47" s="18"/>
      <c r="G47" s="18"/>
      <c r="H47" s="18"/>
    </row>
    <row r="48" spans="1:8" ht="30" customHeight="1" x14ac:dyDescent="0.3">
      <c r="A48" s="6" t="s">
        <v>75</v>
      </c>
      <c r="B48" s="7" t="s">
        <v>76</v>
      </c>
      <c r="C48" s="19" t="s">
        <v>93</v>
      </c>
      <c r="D48" s="19"/>
      <c r="E48" s="19"/>
      <c r="F48" s="19"/>
      <c r="G48" s="19"/>
      <c r="H48" s="19"/>
    </row>
    <row r="49" spans="1:8" x14ac:dyDescent="0.3">
      <c r="A49" s="20"/>
      <c r="B49" s="20"/>
      <c r="C49" s="20"/>
      <c r="D49" s="20"/>
      <c r="E49" s="20"/>
      <c r="F49" s="20"/>
      <c r="G49" s="20"/>
      <c r="H49" s="20"/>
    </row>
    <row r="50" spans="1:8" ht="27.75" customHeight="1" x14ac:dyDescent="0.3">
      <c r="A50" s="5" t="s">
        <v>77</v>
      </c>
      <c r="B50" s="5"/>
      <c r="C50" s="5"/>
      <c r="D50" s="5"/>
      <c r="E50" s="5"/>
      <c r="F50" s="5"/>
      <c r="G50" s="5"/>
      <c r="H50" s="5"/>
    </row>
    <row r="51" spans="1:8" ht="31.5" customHeight="1" x14ac:dyDescent="0.3">
      <c r="A51" s="9" t="s">
        <v>78</v>
      </c>
      <c r="B51" s="10" t="s">
        <v>79</v>
      </c>
      <c r="C51" s="18" t="s">
        <v>94</v>
      </c>
      <c r="D51" s="18"/>
      <c r="E51" s="18"/>
      <c r="F51" s="18"/>
      <c r="G51" s="18"/>
      <c r="H51" s="18"/>
    </row>
    <row r="52" spans="1:8" ht="31.5" customHeight="1" x14ac:dyDescent="0.3">
      <c r="A52" s="6" t="s">
        <v>80</v>
      </c>
      <c r="B52" s="7" t="s">
        <v>81</v>
      </c>
      <c r="C52" s="19" t="s">
        <v>95</v>
      </c>
      <c r="D52" s="19"/>
      <c r="E52" s="19"/>
      <c r="F52" s="19"/>
      <c r="G52" s="19"/>
      <c r="H52" s="19"/>
    </row>
    <row r="53" spans="1:8" ht="31.5" customHeight="1" x14ac:dyDescent="0.3">
      <c r="A53" s="9" t="s">
        <v>82</v>
      </c>
      <c r="B53" s="10" t="s">
        <v>83</v>
      </c>
      <c r="C53" s="18" t="s">
        <v>138</v>
      </c>
      <c r="D53" s="18"/>
      <c r="E53" s="18"/>
      <c r="F53" s="18"/>
      <c r="G53" s="18"/>
      <c r="H53" s="18"/>
    </row>
    <row r="54" spans="1:8" ht="31.5" customHeight="1" x14ac:dyDescent="0.3">
      <c r="A54" s="6" t="s">
        <v>84</v>
      </c>
      <c r="B54" s="7" t="s">
        <v>85</v>
      </c>
      <c r="C54" s="19" t="s">
        <v>139</v>
      </c>
      <c r="D54" s="19"/>
      <c r="E54" s="19"/>
      <c r="F54" s="19"/>
      <c r="G54" s="19"/>
      <c r="H54" s="19"/>
    </row>
    <row r="55" spans="1:8" ht="31.5" customHeight="1" x14ac:dyDescent="0.3">
      <c r="A55" s="9" t="s">
        <v>86</v>
      </c>
      <c r="B55" s="10" t="s">
        <v>87</v>
      </c>
      <c r="C55" s="18" t="s">
        <v>137</v>
      </c>
      <c r="D55" s="18"/>
      <c r="E55" s="18"/>
      <c r="F55" s="18"/>
      <c r="G55" s="18"/>
      <c r="H55" s="18"/>
    </row>
  </sheetData>
  <mergeCells count="19">
    <mergeCell ref="C52:H52"/>
    <mergeCell ref="C53:H53"/>
    <mergeCell ref="C54:H54"/>
    <mergeCell ref="C55:H55"/>
    <mergeCell ref="C46:H46"/>
    <mergeCell ref="C47:H47"/>
    <mergeCell ref="C48:H48"/>
    <mergeCell ref="A50:H50"/>
    <mergeCell ref="C51:H51"/>
    <mergeCell ref="A34:H34"/>
    <mergeCell ref="A42:H42"/>
    <mergeCell ref="C43:H43"/>
    <mergeCell ref="C44:H44"/>
    <mergeCell ref="C45:H45"/>
    <mergeCell ref="A1:H1"/>
    <mergeCell ref="A3:H3"/>
    <mergeCell ref="A9:H9"/>
    <mergeCell ref="A18:H18"/>
    <mergeCell ref="A26:H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showGridLines="0" zoomScaleNormal="100" workbookViewId="0">
      <pane ySplit="2" topLeftCell="A3" activePane="bottomLeft" state="frozen"/>
      <selection pane="bottomLeft" sqref="A1:H1"/>
    </sheetView>
  </sheetViews>
  <sheetFormatPr defaultColWidth="8.6640625" defaultRowHeight="14.4" x14ac:dyDescent="0.3"/>
  <cols>
    <col min="1" max="1" width="10" style="22" customWidth="1"/>
    <col min="2" max="2" width="62" style="22" customWidth="1"/>
    <col min="3" max="7" width="15" style="22" customWidth="1"/>
    <col min="8" max="8" width="10" style="22" customWidth="1"/>
    <col min="9" max="16384" width="8.6640625" style="22"/>
  </cols>
  <sheetData>
    <row r="1" spans="1:8" ht="31.5" customHeight="1" x14ac:dyDescent="0.3">
      <c r="A1" s="21" t="s">
        <v>184</v>
      </c>
      <c r="B1" s="21"/>
      <c r="C1" s="21"/>
      <c r="D1" s="21"/>
      <c r="E1" s="21"/>
      <c r="F1" s="21"/>
      <c r="G1" s="21"/>
      <c r="H1" s="21"/>
    </row>
    <row r="3" spans="1:8" ht="27.75" customHeight="1" x14ac:dyDescent="0.3">
      <c r="A3" s="23" t="s">
        <v>0</v>
      </c>
      <c r="B3" s="23"/>
      <c r="C3" s="23"/>
      <c r="D3" s="23"/>
      <c r="E3" s="23"/>
      <c r="F3" s="23"/>
      <c r="G3" s="23"/>
      <c r="H3" s="23"/>
    </row>
    <row r="4" spans="1:8" ht="24" customHeight="1" x14ac:dyDescent="0.3">
      <c r="A4" s="27" t="s">
        <v>1</v>
      </c>
      <c r="B4" s="28" t="s">
        <v>2</v>
      </c>
      <c r="C4" s="29" t="s">
        <v>3</v>
      </c>
      <c r="D4" s="29" t="s">
        <v>4</v>
      </c>
      <c r="E4" s="29" t="s">
        <v>5</v>
      </c>
      <c r="F4" s="30" t="s">
        <v>144</v>
      </c>
    </row>
    <row r="5" spans="1:8" ht="24" customHeight="1" x14ac:dyDescent="0.3">
      <c r="A5" s="31" t="s">
        <v>7</v>
      </c>
      <c r="B5" s="32" t="s">
        <v>8</v>
      </c>
      <c r="C5" s="29" t="s">
        <v>9</v>
      </c>
      <c r="D5" s="30" t="s">
        <v>141</v>
      </c>
      <c r="E5" s="29" t="s">
        <v>11</v>
      </c>
      <c r="F5" s="29" t="s">
        <v>12</v>
      </c>
    </row>
    <row r="6" spans="1:8" ht="24" customHeight="1" x14ac:dyDescent="0.3">
      <c r="A6" s="27" t="s">
        <v>13</v>
      </c>
      <c r="B6" s="28" t="s">
        <v>14</v>
      </c>
      <c r="C6" s="29" t="s">
        <v>9</v>
      </c>
      <c r="D6" s="29" t="s">
        <v>10</v>
      </c>
      <c r="E6" s="35" t="s">
        <v>143</v>
      </c>
      <c r="F6" s="31" t="s">
        <v>12</v>
      </c>
    </row>
    <row r="7" spans="1:8" ht="24" customHeight="1" x14ac:dyDescent="0.3">
      <c r="A7" s="31" t="s">
        <v>15</v>
      </c>
      <c r="B7" s="32" t="s">
        <v>16</v>
      </c>
      <c r="C7" s="29" t="s">
        <v>17</v>
      </c>
      <c r="D7" s="30" t="s">
        <v>142</v>
      </c>
      <c r="E7" s="33"/>
      <c r="F7" s="33"/>
    </row>
    <row r="9" spans="1:8" ht="27.75" customHeight="1" x14ac:dyDescent="0.3">
      <c r="A9" s="23" t="s">
        <v>19</v>
      </c>
      <c r="B9" s="23"/>
      <c r="C9" s="23"/>
      <c r="D9" s="23"/>
      <c r="E9" s="23"/>
      <c r="F9" s="23"/>
      <c r="G9" s="23"/>
      <c r="H9" s="23"/>
    </row>
    <row r="10" spans="1:8" ht="33.75" customHeight="1" x14ac:dyDescent="0.3">
      <c r="A10" s="34" t="s">
        <v>20</v>
      </c>
      <c r="B10" s="34" t="s">
        <v>21</v>
      </c>
      <c r="C10" s="34" t="s">
        <v>131</v>
      </c>
      <c r="D10" s="34" t="s">
        <v>132</v>
      </c>
      <c r="E10" s="34" t="s">
        <v>133</v>
      </c>
      <c r="F10" s="34" t="s">
        <v>134</v>
      </c>
      <c r="G10" s="34" t="s">
        <v>135</v>
      </c>
      <c r="H10" s="34" t="s">
        <v>22</v>
      </c>
    </row>
    <row r="11" spans="1:8" ht="25.5" customHeight="1" x14ac:dyDescent="0.3">
      <c r="A11" s="31" t="s">
        <v>23</v>
      </c>
      <c r="B11" s="32" t="s">
        <v>24</v>
      </c>
      <c r="C11" s="29"/>
      <c r="D11" s="29"/>
      <c r="E11" s="35" t="s">
        <v>88</v>
      </c>
      <c r="F11" s="29"/>
      <c r="G11" s="29"/>
      <c r="H11" s="29">
        <f>IF(C11="X",1)+IF(D11="X",2)+IF(E11="X",3)+IF(F11="X",4)+IF(G11="X",5)</f>
        <v>3</v>
      </c>
    </row>
    <row r="12" spans="1:8" ht="25.5" customHeight="1" x14ac:dyDescent="0.3">
      <c r="A12" s="27" t="s">
        <v>25</v>
      </c>
      <c r="B12" s="28" t="s">
        <v>26</v>
      </c>
      <c r="C12" s="36"/>
      <c r="D12" s="36"/>
      <c r="E12" s="36"/>
      <c r="F12" s="35" t="s">
        <v>88</v>
      </c>
      <c r="G12" s="36"/>
      <c r="H12" s="36">
        <f>IF(C12="X",1)+IF(D12="X",2)+IF(E12="X",3)+IF(F12="X",4)+IF(G12="X",5)</f>
        <v>4</v>
      </c>
    </row>
    <row r="13" spans="1:8" ht="25.5" customHeight="1" x14ac:dyDescent="0.3">
      <c r="A13" s="31" t="s">
        <v>27</v>
      </c>
      <c r="B13" s="32" t="s">
        <v>28</v>
      </c>
      <c r="C13" s="29"/>
      <c r="D13" s="29"/>
      <c r="E13" s="35" t="s">
        <v>88</v>
      </c>
      <c r="F13" s="29"/>
      <c r="G13" s="29"/>
      <c r="H13" s="29">
        <f>IF(C13="X",1)+IF(D13="X",2)+IF(E13="X",3)+IF(F13="X",4)+IF(G13="X",5)</f>
        <v>3</v>
      </c>
    </row>
    <row r="14" spans="1:8" ht="25.5" customHeight="1" x14ac:dyDescent="0.3">
      <c r="A14" s="27" t="s">
        <v>29</v>
      </c>
      <c r="B14" s="28" t="s">
        <v>30</v>
      </c>
      <c r="C14" s="36"/>
      <c r="D14" s="36"/>
      <c r="E14" s="36"/>
      <c r="F14" s="35" t="s">
        <v>88</v>
      </c>
      <c r="G14" s="36"/>
      <c r="H14" s="36">
        <f>IF(C14="X",1)+IF(D14="X",2)+IF(E14="X",3)+IF(F14="X",4)+IF(G14="X",5)</f>
        <v>4</v>
      </c>
    </row>
    <row r="15" spans="1:8" ht="25.5" customHeight="1" x14ac:dyDescent="0.3">
      <c r="A15" s="31" t="s">
        <v>31</v>
      </c>
      <c r="B15" s="32" t="s">
        <v>32</v>
      </c>
      <c r="C15" s="29"/>
      <c r="D15" s="29"/>
      <c r="E15" s="29"/>
      <c r="F15" s="35" t="s">
        <v>88</v>
      </c>
      <c r="G15" s="29"/>
      <c r="H15" s="29">
        <f>IF(C15="X",1)+IF(D15="X",2)+IF(E15="X",3)+IF(F15="X",4)+IF(G15="X",5)</f>
        <v>4</v>
      </c>
    </row>
    <row r="16" spans="1:8" ht="24" customHeight="1" x14ac:dyDescent="0.3">
      <c r="A16" s="24"/>
      <c r="B16" s="25" t="s">
        <v>33</v>
      </c>
      <c r="C16" s="24"/>
      <c r="D16" s="24"/>
      <c r="E16" s="24"/>
      <c r="F16" s="24"/>
      <c r="G16" s="24"/>
      <c r="H16" s="26">
        <f>AVERAGE(H11:H15)</f>
        <v>3.6</v>
      </c>
    </row>
    <row r="18" spans="1:8" ht="27.75" customHeight="1" x14ac:dyDescent="0.3">
      <c r="A18" s="23" t="s">
        <v>34</v>
      </c>
      <c r="B18" s="23"/>
      <c r="C18" s="23"/>
      <c r="D18" s="23"/>
      <c r="E18" s="23"/>
      <c r="F18" s="23"/>
      <c r="G18" s="23"/>
      <c r="H18" s="23"/>
    </row>
    <row r="19" spans="1:8" ht="33.75" customHeight="1" x14ac:dyDescent="0.3">
      <c r="A19" s="34" t="s">
        <v>20</v>
      </c>
      <c r="B19" s="34" t="s">
        <v>21</v>
      </c>
      <c r="C19" s="34" t="s">
        <v>131</v>
      </c>
      <c r="D19" s="34" t="s">
        <v>132</v>
      </c>
      <c r="E19" s="34" t="s">
        <v>133</v>
      </c>
      <c r="F19" s="34" t="s">
        <v>134</v>
      </c>
      <c r="G19" s="34" t="s">
        <v>135</v>
      </c>
      <c r="H19" s="34" t="s">
        <v>22</v>
      </c>
    </row>
    <row r="20" spans="1:8" ht="25.5" customHeight="1" x14ac:dyDescent="0.3">
      <c r="A20" s="27" t="s">
        <v>35</v>
      </c>
      <c r="B20" s="28" t="s">
        <v>36</v>
      </c>
      <c r="C20" s="36"/>
      <c r="D20" s="36"/>
      <c r="E20" s="36"/>
      <c r="F20" s="35" t="s">
        <v>88</v>
      </c>
      <c r="G20" s="36"/>
      <c r="H20" s="36">
        <f>IF(C20="X",1)+IF(D20="X",2)+IF(E20="X",3)+IF(F20="X",4)+IF(G20="X",5)</f>
        <v>4</v>
      </c>
    </row>
    <row r="21" spans="1:8" ht="25.5" customHeight="1" x14ac:dyDescent="0.3">
      <c r="A21" s="31" t="s">
        <v>37</v>
      </c>
      <c r="B21" s="32" t="s">
        <v>38</v>
      </c>
      <c r="C21" s="29"/>
      <c r="D21" s="29"/>
      <c r="E21" s="29"/>
      <c r="F21" s="35" t="s">
        <v>88</v>
      </c>
      <c r="G21" s="29"/>
      <c r="H21" s="29">
        <f>IF(C21="X",1)+IF(D21="X",2)+IF(E21="X",3)+IF(F21="X",4)+IF(G21="X",5)</f>
        <v>4</v>
      </c>
    </row>
    <row r="22" spans="1:8" ht="25.5" customHeight="1" x14ac:dyDescent="0.3">
      <c r="A22" s="27" t="s">
        <v>39</v>
      </c>
      <c r="B22" s="28" t="s">
        <v>40</v>
      </c>
      <c r="C22" s="36"/>
      <c r="D22" s="36"/>
      <c r="E22" s="36"/>
      <c r="F22" s="35" t="s">
        <v>88</v>
      </c>
      <c r="G22" s="36"/>
      <c r="H22" s="36">
        <f>IF(C22="X",1)+IF(D22="X",2)+IF(E22="X",3)+IF(F22="X",4)+IF(G22="X",5)</f>
        <v>4</v>
      </c>
    </row>
    <row r="23" spans="1:8" ht="25.5" customHeight="1" x14ac:dyDescent="0.3">
      <c r="A23" s="31" t="s">
        <v>41</v>
      </c>
      <c r="B23" s="32" t="s">
        <v>42</v>
      </c>
      <c r="C23" s="29"/>
      <c r="D23" s="29"/>
      <c r="E23" s="29"/>
      <c r="F23" s="29"/>
      <c r="G23" s="35" t="s">
        <v>88</v>
      </c>
      <c r="H23" s="29">
        <f>IF(C23="X",1)+IF(D23="X",2)+IF(E23="X",3)+IF(F23="X",4)+IF(G23="X",5)</f>
        <v>5</v>
      </c>
    </row>
    <row r="24" spans="1:8" ht="24" customHeight="1" x14ac:dyDescent="0.3">
      <c r="A24" s="24"/>
      <c r="B24" s="25" t="s">
        <v>43</v>
      </c>
      <c r="C24" s="24"/>
      <c r="D24" s="24"/>
      <c r="E24" s="24"/>
      <c r="F24" s="24"/>
      <c r="G24" s="24"/>
      <c r="H24" s="26">
        <f>AVERAGE(H20:H23)</f>
        <v>4.25</v>
      </c>
    </row>
    <row r="26" spans="1:8" ht="27.75" customHeight="1" x14ac:dyDescent="0.3">
      <c r="A26" s="23" t="s">
        <v>44</v>
      </c>
      <c r="B26" s="23"/>
      <c r="C26" s="23"/>
      <c r="D26" s="23"/>
      <c r="E26" s="23"/>
      <c r="F26" s="23"/>
      <c r="G26" s="23"/>
      <c r="H26" s="23"/>
    </row>
    <row r="27" spans="1:8" ht="33.75" customHeight="1" x14ac:dyDescent="0.3">
      <c r="A27" s="34" t="s">
        <v>20</v>
      </c>
      <c r="B27" s="34" t="s">
        <v>21</v>
      </c>
      <c r="C27" s="34" t="s">
        <v>131</v>
      </c>
      <c r="D27" s="34" t="s">
        <v>132</v>
      </c>
      <c r="E27" s="34" t="s">
        <v>133</v>
      </c>
      <c r="F27" s="34" t="s">
        <v>134</v>
      </c>
      <c r="G27" s="34" t="s">
        <v>135</v>
      </c>
      <c r="H27" s="34" t="s">
        <v>22</v>
      </c>
    </row>
    <row r="28" spans="1:8" ht="25.5" customHeight="1" x14ac:dyDescent="0.3">
      <c r="A28" s="27" t="s">
        <v>45</v>
      </c>
      <c r="B28" s="28" t="s">
        <v>46</v>
      </c>
      <c r="C28" s="36"/>
      <c r="D28" s="36"/>
      <c r="E28" s="35" t="s">
        <v>88</v>
      </c>
      <c r="F28" s="36"/>
      <c r="G28" s="36"/>
      <c r="H28" s="36">
        <f>IF(C28="X",1)+IF(D28="X",2)+IF(E28="X",3)+IF(F28="X",4)+IF(G28="X",5)</f>
        <v>3</v>
      </c>
    </row>
    <row r="29" spans="1:8" ht="25.5" customHeight="1" x14ac:dyDescent="0.3">
      <c r="A29" s="31" t="s">
        <v>47</v>
      </c>
      <c r="B29" s="32" t="s">
        <v>48</v>
      </c>
      <c r="C29" s="29"/>
      <c r="D29" s="29"/>
      <c r="E29" s="29"/>
      <c r="F29" s="35" t="s">
        <v>88</v>
      </c>
      <c r="G29" s="29"/>
      <c r="H29" s="29">
        <f>IF(C29="X",1)+IF(D29="X",2)+IF(E29="X",3)+IF(F29="X",4)+IF(G29="X",5)</f>
        <v>4</v>
      </c>
    </row>
    <row r="30" spans="1:8" ht="25.5" customHeight="1" x14ac:dyDescent="0.3">
      <c r="A30" s="27" t="s">
        <v>49</v>
      </c>
      <c r="B30" s="28" t="s">
        <v>50</v>
      </c>
      <c r="C30" s="36"/>
      <c r="D30" s="36"/>
      <c r="E30" s="36"/>
      <c r="F30" s="35" t="s">
        <v>88</v>
      </c>
      <c r="G30" s="36"/>
      <c r="H30" s="36">
        <f>IF(C30="X",1)+IF(D30="X",2)+IF(E30="X",3)+IF(F30="X",4)+IF(G30="X",5)</f>
        <v>4</v>
      </c>
    </row>
    <row r="31" spans="1:8" ht="25.5" customHeight="1" x14ac:dyDescent="0.3">
      <c r="A31" s="31" t="s">
        <v>51</v>
      </c>
      <c r="B31" s="32" t="s">
        <v>52</v>
      </c>
      <c r="C31" s="29"/>
      <c r="D31" s="29"/>
      <c r="E31" s="29"/>
      <c r="F31" s="35" t="s">
        <v>88</v>
      </c>
      <c r="G31" s="29"/>
      <c r="H31" s="29">
        <f>IF(C31="X",1)+IF(D31="X",2)+IF(E31="X",3)+IF(F31="X",4)+IF(G31="X",5)</f>
        <v>4</v>
      </c>
    </row>
    <row r="32" spans="1:8" ht="24" customHeight="1" x14ac:dyDescent="0.3">
      <c r="A32" s="24"/>
      <c r="B32" s="25" t="s">
        <v>53</v>
      </c>
      <c r="C32" s="24"/>
      <c r="D32" s="24"/>
      <c r="E32" s="24"/>
      <c r="F32" s="24"/>
      <c r="G32" s="24"/>
      <c r="H32" s="26">
        <f>AVERAGE(H28:H31)</f>
        <v>3.75</v>
      </c>
    </row>
    <row r="34" spans="1:8" ht="27.75" customHeight="1" x14ac:dyDescent="0.3">
      <c r="A34" s="23" t="s">
        <v>54</v>
      </c>
      <c r="B34" s="23"/>
      <c r="C34" s="23"/>
      <c r="D34" s="23"/>
      <c r="E34" s="23"/>
      <c r="F34" s="23"/>
      <c r="G34" s="23"/>
      <c r="H34" s="23"/>
    </row>
    <row r="35" spans="1:8" ht="33.75" customHeight="1" x14ac:dyDescent="0.3">
      <c r="A35" s="34" t="s">
        <v>20</v>
      </c>
      <c r="B35" s="34" t="s">
        <v>21</v>
      </c>
      <c r="C35" s="34" t="s">
        <v>131</v>
      </c>
      <c r="D35" s="34" t="s">
        <v>132</v>
      </c>
      <c r="E35" s="34" t="s">
        <v>133</v>
      </c>
      <c r="F35" s="34" t="s">
        <v>134</v>
      </c>
      <c r="G35" s="34" t="s">
        <v>135</v>
      </c>
      <c r="H35" s="34" t="s">
        <v>22</v>
      </c>
    </row>
    <row r="36" spans="1:8" ht="25.5" customHeight="1" x14ac:dyDescent="0.3">
      <c r="A36" s="27" t="s">
        <v>55</v>
      </c>
      <c r="B36" s="28" t="s">
        <v>56</v>
      </c>
      <c r="C36" s="36"/>
      <c r="D36" s="36"/>
      <c r="E36" s="36"/>
      <c r="F36" s="36"/>
      <c r="G36" s="35" t="s">
        <v>88</v>
      </c>
      <c r="H36" s="36">
        <f>IF(C36="X",1)+IF(D36="X",2)+IF(E36="X",3)+IF(F36="X",4)+IF(G36="X",5)</f>
        <v>5</v>
      </c>
    </row>
    <row r="37" spans="1:8" ht="25.5" customHeight="1" x14ac:dyDescent="0.3">
      <c r="A37" s="31" t="s">
        <v>57</v>
      </c>
      <c r="B37" s="32" t="s">
        <v>58</v>
      </c>
      <c r="C37" s="29"/>
      <c r="D37" s="29"/>
      <c r="E37" s="29"/>
      <c r="F37" s="29"/>
      <c r="G37" s="35" t="s">
        <v>88</v>
      </c>
      <c r="H37" s="29">
        <f>IF(C37="X",1)+IF(D37="X",2)+IF(E37="X",3)+IF(F37="X",4)+IF(G37="X",5)</f>
        <v>5</v>
      </c>
    </row>
    <row r="38" spans="1:8" ht="25.5" customHeight="1" x14ac:dyDescent="0.3">
      <c r="A38" s="27" t="s">
        <v>59</v>
      </c>
      <c r="B38" s="28" t="s">
        <v>60</v>
      </c>
      <c r="C38" s="36"/>
      <c r="D38" s="36"/>
      <c r="E38" s="36"/>
      <c r="F38" s="35" t="s">
        <v>88</v>
      </c>
      <c r="G38" s="36"/>
      <c r="H38" s="36">
        <f>IF(C38="X",1)+IF(D38="X",2)+IF(E38="X",3)+IF(F38="X",4)+IF(G38="X",5)</f>
        <v>4</v>
      </c>
    </row>
    <row r="39" spans="1:8" ht="25.5" customHeight="1" x14ac:dyDescent="0.3">
      <c r="A39" s="31" t="s">
        <v>61</v>
      </c>
      <c r="B39" s="32" t="s">
        <v>62</v>
      </c>
      <c r="C39" s="29"/>
      <c r="D39" s="29"/>
      <c r="E39" s="29"/>
      <c r="F39" s="29"/>
      <c r="G39" s="35" t="s">
        <v>88</v>
      </c>
      <c r="H39" s="29">
        <f>IF(C39="X",1)+IF(D39="X",2)+IF(E39="X",3)+IF(F39="X",4)+IF(G39="X",5)</f>
        <v>5</v>
      </c>
    </row>
    <row r="40" spans="1:8" ht="24" customHeight="1" x14ac:dyDescent="0.3">
      <c r="A40" s="24"/>
      <c r="B40" s="25" t="s">
        <v>63</v>
      </c>
      <c r="C40" s="24"/>
      <c r="D40" s="24"/>
      <c r="E40" s="24"/>
      <c r="F40" s="24"/>
      <c r="G40" s="24"/>
      <c r="H40" s="26">
        <f>AVERAGE(H36:H39)</f>
        <v>4.75</v>
      </c>
    </row>
    <row r="42" spans="1:8" ht="27.75" customHeight="1" x14ac:dyDescent="0.3">
      <c r="A42" s="23" t="s">
        <v>64</v>
      </c>
      <c r="B42" s="23"/>
      <c r="C42" s="23"/>
      <c r="D42" s="23"/>
      <c r="E42" s="23"/>
      <c r="F42" s="23"/>
      <c r="G42" s="23"/>
      <c r="H42" s="23"/>
    </row>
    <row r="43" spans="1:8" ht="30" customHeight="1" x14ac:dyDescent="0.3">
      <c r="A43" s="31" t="s">
        <v>65</v>
      </c>
      <c r="B43" s="32" t="s">
        <v>66</v>
      </c>
      <c r="C43" s="37" t="s">
        <v>145</v>
      </c>
      <c r="D43" s="37"/>
      <c r="E43" s="37"/>
      <c r="F43" s="37"/>
      <c r="G43" s="37"/>
      <c r="H43" s="37"/>
    </row>
    <row r="44" spans="1:8" ht="30" customHeight="1" x14ac:dyDescent="0.3">
      <c r="A44" s="27" t="s">
        <v>67</v>
      </c>
      <c r="B44" s="28" t="s">
        <v>68</v>
      </c>
      <c r="C44" s="38" t="s">
        <v>96</v>
      </c>
      <c r="D44" s="38"/>
      <c r="E44" s="38"/>
      <c r="F44" s="38"/>
      <c r="G44" s="38"/>
      <c r="H44" s="38"/>
    </row>
    <row r="45" spans="1:8" ht="30" customHeight="1" x14ac:dyDescent="0.3">
      <c r="A45" s="31" t="s">
        <v>69</v>
      </c>
      <c r="B45" s="32" t="s">
        <v>70</v>
      </c>
      <c r="C45" s="37" t="s">
        <v>97</v>
      </c>
      <c r="D45" s="37"/>
      <c r="E45" s="37"/>
      <c r="F45" s="37"/>
      <c r="G45" s="37"/>
      <c r="H45" s="37"/>
    </row>
    <row r="46" spans="1:8" ht="30" customHeight="1" x14ac:dyDescent="0.3">
      <c r="A46" s="27" t="s">
        <v>71</v>
      </c>
      <c r="B46" s="28" t="s">
        <v>72</v>
      </c>
      <c r="C46" s="38" t="s">
        <v>91</v>
      </c>
      <c r="D46" s="38"/>
      <c r="E46" s="38"/>
      <c r="F46" s="38"/>
      <c r="G46" s="38"/>
      <c r="H46" s="38"/>
    </row>
    <row r="47" spans="1:8" ht="30" customHeight="1" x14ac:dyDescent="0.3">
      <c r="A47" s="31" t="s">
        <v>73</v>
      </c>
      <c r="B47" s="32" t="s">
        <v>74</v>
      </c>
      <c r="C47" s="37" t="s">
        <v>92</v>
      </c>
      <c r="D47" s="37"/>
      <c r="E47" s="37"/>
      <c r="F47" s="37"/>
      <c r="G47" s="37"/>
      <c r="H47" s="37"/>
    </row>
    <row r="48" spans="1:8" ht="30" customHeight="1" x14ac:dyDescent="0.3">
      <c r="A48" s="27" t="s">
        <v>75</v>
      </c>
      <c r="B48" s="28" t="s">
        <v>76</v>
      </c>
      <c r="C48" s="38" t="s">
        <v>93</v>
      </c>
      <c r="D48" s="38"/>
      <c r="E48" s="38"/>
      <c r="F48" s="38"/>
      <c r="G48" s="38"/>
      <c r="H48" s="38"/>
    </row>
    <row r="50" spans="1:8" ht="27.75" customHeight="1" x14ac:dyDescent="0.3">
      <c r="A50" s="23" t="s">
        <v>77</v>
      </c>
      <c r="B50" s="23"/>
      <c r="C50" s="23"/>
      <c r="D50" s="23"/>
      <c r="E50" s="23"/>
      <c r="F50" s="23"/>
      <c r="G50" s="23"/>
      <c r="H50" s="23"/>
    </row>
    <row r="51" spans="1:8" ht="31.5" customHeight="1" x14ac:dyDescent="0.3">
      <c r="A51" s="31" t="s">
        <v>78</v>
      </c>
      <c r="B51" s="32" t="s">
        <v>79</v>
      </c>
      <c r="C51" s="37" t="s">
        <v>98</v>
      </c>
      <c r="D51" s="37"/>
      <c r="E51" s="37"/>
      <c r="F51" s="37"/>
      <c r="G51" s="37"/>
      <c r="H51" s="37"/>
    </row>
    <row r="52" spans="1:8" ht="31.5" customHeight="1" x14ac:dyDescent="0.3">
      <c r="A52" s="27" t="s">
        <v>80</v>
      </c>
      <c r="B52" s="28" t="s">
        <v>81</v>
      </c>
      <c r="C52" s="38" t="s">
        <v>95</v>
      </c>
      <c r="D52" s="38"/>
      <c r="E52" s="38"/>
      <c r="F52" s="38"/>
      <c r="G52" s="38"/>
      <c r="H52" s="38"/>
    </row>
    <row r="53" spans="1:8" ht="31.5" customHeight="1" x14ac:dyDescent="0.3">
      <c r="A53" s="31" t="s">
        <v>82</v>
      </c>
      <c r="B53" s="32" t="s">
        <v>83</v>
      </c>
      <c r="C53" s="37" t="s">
        <v>146</v>
      </c>
      <c r="D53" s="37"/>
      <c r="E53" s="37"/>
      <c r="F53" s="37"/>
      <c r="G53" s="37"/>
      <c r="H53" s="37"/>
    </row>
    <row r="54" spans="1:8" ht="31.5" customHeight="1" x14ac:dyDescent="0.3">
      <c r="A54" s="27" t="s">
        <v>84</v>
      </c>
      <c r="B54" s="28" t="s">
        <v>85</v>
      </c>
      <c r="C54" s="38" t="s">
        <v>147</v>
      </c>
      <c r="D54" s="38"/>
      <c r="E54" s="38"/>
      <c r="F54" s="38"/>
      <c r="G54" s="38"/>
      <c r="H54" s="38"/>
    </row>
    <row r="55" spans="1:8" ht="31.5" customHeight="1" x14ac:dyDescent="0.3">
      <c r="A55" s="31" t="s">
        <v>86</v>
      </c>
      <c r="B55" s="32" t="s">
        <v>87</v>
      </c>
      <c r="C55" s="37" t="s">
        <v>148</v>
      </c>
      <c r="D55" s="37"/>
      <c r="E55" s="37"/>
      <c r="F55" s="37"/>
      <c r="G55" s="37"/>
      <c r="H55" s="37"/>
    </row>
  </sheetData>
  <mergeCells count="19">
    <mergeCell ref="C52:H52"/>
    <mergeCell ref="C53:H53"/>
    <mergeCell ref="C54:H54"/>
    <mergeCell ref="C55:H55"/>
    <mergeCell ref="C46:H46"/>
    <mergeCell ref="C47:H47"/>
    <mergeCell ref="C48:H48"/>
    <mergeCell ref="A50:H50"/>
    <mergeCell ref="C51:H51"/>
    <mergeCell ref="A34:H34"/>
    <mergeCell ref="A42:H42"/>
    <mergeCell ref="C43:H43"/>
    <mergeCell ref="C44:H44"/>
    <mergeCell ref="C45:H45"/>
    <mergeCell ref="A1:H1"/>
    <mergeCell ref="A3:H3"/>
    <mergeCell ref="A9:H9"/>
    <mergeCell ref="A18:H18"/>
    <mergeCell ref="A26:H2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6"/>
  <sheetViews>
    <sheetView showGridLines="0" zoomScaleNormal="100" workbookViewId="0">
      <pane ySplit="2" topLeftCell="A47" activePane="bottomLeft" state="frozen"/>
      <selection pane="bottomLeft" sqref="A1:H1"/>
    </sheetView>
  </sheetViews>
  <sheetFormatPr defaultColWidth="8.6640625" defaultRowHeight="14.4" x14ac:dyDescent="0.3"/>
  <cols>
    <col min="1" max="1" width="10" style="4" customWidth="1"/>
    <col min="2" max="2" width="62" style="4" customWidth="1"/>
    <col min="3" max="7" width="15" style="4" customWidth="1"/>
    <col min="8" max="8" width="10" style="4" customWidth="1"/>
    <col min="9" max="16384" width="8.6640625" style="4"/>
  </cols>
  <sheetData>
    <row r="1" spans="1:8" ht="31.5" customHeight="1" x14ac:dyDescent="0.3">
      <c r="A1" s="21" t="s">
        <v>185</v>
      </c>
      <c r="B1" s="21"/>
      <c r="C1" s="21"/>
      <c r="D1" s="21"/>
      <c r="E1" s="21"/>
      <c r="F1" s="21"/>
      <c r="G1" s="21"/>
      <c r="H1" s="21"/>
    </row>
    <row r="3" spans="1:8" ht="27.75" customHeight="1" x14ac:dyDescent="0.3">
      <c r="A3" s="5" t="s">
        <v>0</v>
      </c>
      <c r="B3" s="5"/>
      <c r="C3" s="5"/>
      <c r="D3" s="5"/>
      <c r="E3" s="5"/>
      <c r="F3" s="5"/>
      <c r="G3" s="5"/>
      <c r="H3" s="5"/>
    </row>
    <row r="4" spans="1:8" ht="24" customHeight="1" x14ac:dyDescent="0.3">
      <c r="A4" s="6" t="s">
        <v>1</v>
      </c>
      <c r="B4" s="7" t="s">
        <v>2</v>
      </c>
      <c r="C4" s="8" t="s">
        <v>3</v>
      </c>
      <c r="D4" s="8" t="s">
        <v>4</v>
      </c>
      <c r="E4" s="8" t="s">
        <v>5</v>
      </c>
      <c r="F4" s="3" t="s">
        <v>6</v>
      </c>
    </row>
    <row r="5" spans="1:8" ht="24" customHeight="1" x14ac:dyDescent="0.3">
      <c r="A5" s="9" t="s">
        <v>7</v>
      </c>
      <c r="B5" s="10" t="s">
        <v>8</v>
      </c>
      <c r="C5" s="3" t="s">
        <v>136</v>
      </c>
      <c r="D5" s="8" t="s">
        <v>10</v>
      </c>
      <c r="E5" s="8" t="s">
        <v>11</v>
      </c>
      <c r="F5" s="8" t="s">
        <v>12</v>
      </c>
    </row>
    <row r="6" spans="1:8" ht="24" customHeight="1" x14ac:dyDescent="0.3">
      <c r="A6" s="6" t="s">
        <v>13</v>
      </c>
      <c r="B6" s="7" t="s">
        <v>14</v>
      </c>
      <c r="C6" s="8" t="s">
        <v>9</v>
      </c>
      <c r="D6" s="3" t="s">
        <v>141</v>
      </c>
      <c r="E6" s="8" t="s">
        <v>11</v>
      </c>
      <c r="F6" s="8" t="s">
        <v>12</v>
      </c>
    </row>
    <row r="7" spans="1:8" ht="24" customHeight="1" x14ac:dyDescent="0.3">
      <c r="A7" s="9" t="s">
        <v>15</v>
      </c>
      <c r="B7" s="10" t="s">
        <v>16</v>
      </c>
      <c r="C7" s="3" t="s">
        <v>149</v>
      </c>
      <c r="D7" s="8" t="s">
        <v>18</v>
      </c>
      <c r="E7" s="11"/>
      <c r="F7" s="11"/>
    </row>
    <row r="8" spans="1:8" x14ac:dyDescent="0.3">
      <c r="B8" s="39" t="s">
        <v>99</v>
      </c>
    </row>
    <row r="10" spans="1:8" ht="27.75" customHeight="1" x14ac:dyDescent="0.3">
      <c r="A10" s="5" t="s">
        <v>19</v>
      </c>
      <c r="B10" s="5"/>
      <c r="C10" s="5"/>
      <c r="D10" s="5"/>
      <c r="E10" s="5"/>
      <c r="F10" s="5"/>
      <c r="G10" s="5"/>
      <c r="H10" s="5"/>
    </row>
    <row r="11" spans="1:8" ht="33.75" customHeight="1" x14ac:dyDescent="0.3">
      <c r="A11" s="12" t="s">
        <v>20</v>
      </c>
      <c r="B11" s="12" t="s">
        <v>21</v>
      </c>
      <c r="C11" s="12" t="s">
        <v>131</v>
      </c>
      <c r="D11" s="12" t="s">
        <v>132</v>
      </c>
      <c r="E11" s="12" t="s">
        <v>133</v>
      </c>
      <c r="F11" s="12" t="s">
        <v>134</v>
      </c>
      <c r="G11" s="12" t="s">
        <v>135</v>
      </c>
      <c r="H11" s="12" t="s">
        <v>22</v>
      </c>
    </row>
    <row r="12" spans="1:8" ht="25.5" customHeight="1" x14ac:dyDescent="0.3">
      <c r="A12" s="6" t="s">
        <v>23</v>
      </c>
      <c r="B12" s="7" t="s">
        <v>24</v>
      </c>
      <c r="C12" s="14"/>
      <c r="D12" s="14"/>
      <c r="E12" s="14"/>
      <c r="F12" s="13" t="s">
        <v>88</v>
      </c>
      <c r="G12" s="14"/>
      <c r="H12" s="14">
        <f>IF(C12="X",1)+IF(D12="X",2)+IF(E12="X",3)+IF(F12="X",4)+IF(G12="X",5)</f>
        <v>4</v>
      </c>
    </row>
    <row r="13" spans="1:8" ht="25.5" customHeight="1" x14ac:dyDescent="0.3">
      <c r="A13" s="9" t="s">
        <v>25</v>
      </c>
      <c r="B13" s="10" t="s">
        <v>26</v>
      </c>
      <c r="C13" s="8"/>
      <c r="D13" s="8"/>
      <c r="E13" s="8"/>
      <c r="F13" s="13" t="s">
        <v>88</v>
      </c>
      <c r="G13" s="8"/>
      <c r="H13" s="8">
        <f>IF(C13="X",1)+IF(D13="X",2)+IF(E13="X",3)+IF(F13="X",4)+IF(G13="X",5)</f>
        <v>4</v>
      </c>
    </row>
    <row r="14" spans="1:8" ht="25.5" customHeight="1" x14ac:dyDescent="0.3">
      <c r="A14" s="6" t="s">
        <v>27</v>
      </c>
      <c r="B14" s="7" t="s">
        <v>28</v>
      </c>
      <c r="C14" s="14"/>
      <c r="D14" s="14"/>
      <c r="E14" s="14"/>
      <c r="F14" s="13" t="s">
        <v>88</v>
      </c>
      <c r="G14" s="14"/>
      <c r="H14" s="14">
        <f>IF(C14="X",1)+IF(D14="X",2)+IF(E14="X",3)+IF(F14="X",4)+IF(G14="X",5)</f>
        <v>4</v>
      </c>
    </row>
    <row r="15" spans="1:8" ht="25.5" customHeight="1" x14ac:dyDescent="0.3">
      <c r="A15" s="9" t="s">
        <v>29</v>
      </c>
      <c r="B15" s="10" t="s">
        <v>30</v>
      </c>
      <c r="C15" s="8"/>
      <c r="D15" s="8"/>
      <c r="E15" s="8"/>
      <c r="F15" s="8"/>
      <c r="G15" s="13" t="s">
        <v>88</v>
      </c>
      <c r="H15" s="8">
        <f>IF(C15="X",1)+IF(D15="X",2)+IF(E15="X",3)+IF(F15="X",4)+IF(G15="X",5)</f>
        <v>5</v>
      </c>
    </row>
    <row r="16" spans="1:8" ht="25.5" customHeight="1" x14ac:dyDescent="0.3">
      <c r="A16" s="6" t="s">
        <v>31</v>
      </c>
      <c r="B16" s="7" t="s">
        <v>32</v>
      </c>
      <c r="C16" s="14"/>
      <c r="D16" s="14"/>
      <c r="E16" s="14"/>
      <c r="F16" s="14"/>
      <c r="G16" s="13" t="s">
        <v>88</v>
      </c>
      <c r="H16" s="14">
        <f>IF(C16="X",1)+IF(D16="X",2)+IF(E16="X",3)+IF(F16="X",4)+IF(G16="X",5)</f>
        <v>5</v>
      </c>
    </row>
    <row r="17" spans="1:8" ht="24" customHeight="1" x14ac:dyDescent="0.3">
      <c r="A17" s="15"/>
      <c r="B17" s="16" t="s">
        <v>33</v>
      </c>
      <c r="C17" s="15"/>
      <c r="D17" s="15"/>
      <c r="E17" s="15"/>
      <c r="F17" s="15"/>
      <c r="G17" s="15"/>
      <c r="H17" s="17">
        <f>AVERAGE(H12:H16)</f>
        <v>4.4000000000000004</v>
      </c>
    </row>
    <row r="19" spans="1:8" ht="27.75" customHeight="1" x14ac:dyDescent="0.3">
      <c r="A19" s="5" t="s">
        <v>34</v>
      </c>
      <c r="B19" s="5"/>
      <c r="C19" s="5"/>
      <c r="D19" s="5"/>
      <c r="E19" s="5"/>
      <c r="F19" s="5"/>
      <c r="G19" s="5"/>
      <c r="H19" s="5"/>
    </row>
    <row r="20" spans="1:8" ht="33.75" customHeight="1" x14ac:dyDescent="0.3">
      <c r="A20" s="12" t="s">
        <v>20</v>
      </c>
      <c r="B20" s="12" t="s">
        <v>21</v>
      </c>
      <c r="C20" s="12" t="s">
        <v>131</v>
      </c>
      <c r="D20" s="12" t="s">
        <v>132</v>
      </c>
      <c r="E20" s="12" t="s">
        <v>133</v>
      </c>
      <c r="F20" s="12" t="s">
        <v>134</v>
      </c>
      <c r="G20" s="12" t="s">
        <v>135</v>
      </c>
      <c r="H20" s="12" t="s">
        <v>22</v>
      </c>
    </row>
    <row r="21" spans="1:8" ht="25.5" customHeight="1" x14ac:dyDescent="0.3">
      <c r="A21" s="9" t="s">
        <v>35</v>
      </c>
      <c r="B21" s="10" t="s">
        <v>36</v>
      </c>
      <c r="C21" s="8"/>
      <c r="D21" s="8"/>
      <c r="E21" s="8"/>
      <c r="F21" s="8"/>
      <c r="G21" s="13" t="s">
        <v>88</v>
      </c>
      <c r="H21" s="8">
        <f>IF(C21="X",1)+IF(D21="X",2)+IF(E21="X",3)+IF(F21="X",4)+IF(G21="X",5)</f>
        <v>5</v>
      </c>
    </row>
    <row r="22" spans="1:8" ht="25.5" customHeight="1" x14ac:dyDescent="0.3">
      <c r="A22" s="6" t="s">
        <v>37</v>
      </c>
      <c r="B22" s="7" t="s">
        <v>38</v>
      </c>
      <c r="C22" s="14"/>
      <c r="D22" s="14"/>
      <c r="E22" s="14"/>
      <c r="F22" s="13" t="s">
        <v>88</v>
      </c>
      <c r="G22" s="14"/>
      <c r="H22" s="14">
        <f>IF(C22="X",1)+IF(D22="X",2)+IF(E22="X",3)+IF(F22="X",4)+IF(G22="X",5)</f>
        <v>4</v>
      </c>
    </row>
    <row r="23" spans="1:8" ht="25.5" customHeight="1" x14ac:dyDescent="0.3">
      <c r="A23" s="9" t="s">
        <v>39</v>
      </c>
      <c r="B23" s="10" t="s">
        <v>40</v>
      </c>
      <c r="C23" s="8"/>
      <c r="D23" s="8"/>
      <c r="E23" s="8" t="s">
        <v>88</v>
      </c>
      <c r="F23" s="8"/>
      <c r="G23" s="13"/>
      <c r="H23" s="8">
        <f>IF(C23="X",1)+IF(D23="X",2)+IF(E23="X",3)+IF(F23="X",4)+IF(G23="X",5)</f>
        <v>3</v>
      </c>
    </row>
    <row r="24" spans="1:8" ht="25.5" customHeight="1" x14ac:dyDescent="0.3">
      <c r="A24" s="6" t="s">
        <v>41</v>
      </c>
      <c r="B24" s="7" t="s">
        <v>42</v>
      </c>
      <c r="C24" s="14"/>
      <c r="D24" s="14"/>
      <c r="E24" s="14"/>
      <c r="F24" s="14"/>
      <c r="G24" s="13" t="s">
        <v>88</v>
      </c>
      <c r="H24" s="14">
        <f>IF(C24="X",1)+IF(D24="X",2)+IF(E24="X",3)+IF(F24="X",4)+IF(G24="X",5)</f>
        <v>5</v>
      </c>
    </row>
    <row r="25" spans="1:8" ht="24" customHeight="1" x14ac:dyDescent="0.3">
      <c r="A25" s="15"/>
      <c r="B25" s="16" t="s">
        <v>43</v>
      </c>
      <c r="C25" s="15"/>
      <c r="D25" s="15"/>
      <c r="E25" s="15"/>
      <c r="F25" s="15"/>
      <c r="G25" s="15"/>
      <c r="H25" s="17">
        <f>AVERAGE(H21:H24)</f>
        <v>4.25</v>
      </c>
    </row>
    <row r="27" spans="1:8" ht="27.75" customHeight="1" x14ac:dyDescent="0.3">
      <c r="A27" s="5" t="s">
        <v>44</v>
      </c>
      <c r="B27" s="5"/>
      <c r="C27" s="5"/>
      <c r="D27" s="5"/>
      <c r="E27" s="5"/>
      <c r="F27" s="5"/>
      <c r="G27" s="5"/>
      <c r="H27" s="5"/>
    </row>
    <row r="28" spans="1:8" ht="33.75" customHeight="1" x14ac:dyDescent="0.3">
      <c r="A28" s="40" t="s">
        <v>20</v>
      </c>
      <c r="B28" s="40" t="s">
        <v>21</v>
      </c>
      <c r="C28" s="40" t="s">
        <v>131</v>
      </c>
      <c r="D28" s="40" t="s">
        <v>132</v>
      </c>
      <c r="E28" s="40" t="s">
        <v>133</v>
      </c>
      <c r="F28" s="40" t="s">
        <v>134</v>
      </c>
      <c r="G28" s="40" t="s">
        <v>135</v>
      </c>
      <c r="H28" s="40" t="s">
        <v>22</v>
      </c>
    </row>
    <row r="29" spans="1:8" ht="25.5" customHeight="1" x14ac:dyDescent="0.3">
      <c r="A29" s="9" t="s">
        <v>45</v>
      </c>
      <c r="B29" s="10" t="s">
        <v>46</v>
      </c>
      <c r="C29" s="8"/>
      <c r="D29" s="8"/>
      <c r="E29" s="8"/>
      <c r="F29" s="13" t="s">
        <v>88</v>
      </c>
      <c r="G29" s="8"/>
      <c r="H29" s="8">
        <f>IF(C29="X",1)+IF(D29="X",2)+IF(E29="X",3)+IF(F29="X",4)+IF(G29="X",5)</f>
        <v>4</v>
      </c>
    </row>
    <row r="30" spans="1:8" ht="25.5" customHeight="1" x14ac:dyDescent="0.3">
      <c r="A30" s="6" t="s">
        <v>47</v>
      </c>
      <c r="B30" s="7" t="s">
        <v>48</v>
      </c>
      <c r="C30" s="14"/>
      <c r="D30" s="14"/>
      <c r="E30" s="14" t="s">
        <v>88</v>
      </c>
      <c r="F30" s="14"/>
      <c r="G30" s="13"/>
      <c r="H30" s="14">
        <f>IF(C30="X",1)+IF(D30="X",2)+IF(E30="X",3)+IF(F30="X",4)+IF(G30="X",5)</f>
        <v>3</v>
      </c>
    </row>
    <row r="31" spans="1:8" ht="25.5" customHeight="1" x14ac:dyDescent="0.3">
      <c r="A31" s="9" t="s">
        <v>49</v>
      </c>
      <c r="B31" s="10" t="s">
        <v>50</v>
      </c>
      <c r="C31" s="8"/>
      <c r="D31" s="8"/>
      <c r="E31" s="8"/>
      <c r="F31" s="13" t="s">
        <v>88</v>
      </c>
      <c r="G31" s="8"/>
      <c r="H31" s="8">
        <f>IF(C31="X",1)+IF(D31="X",2)+IF(E31="X",3)+IF(F31="X",4)+IF(G31="X",5)</f>
        <v>4</v>
      </c>
    </row>
    <row r="32" spans="1:8" ht="25.5" customHeight="1" x14ac:dyDescent="0.3">
      <c r="A32" s="6" t="s">
        <v>51</v>
      </c>
      <c r="B32" s="7" t="s">
        <v>52</v>
      </c>
      <c r="C32" s="14"/>
      <c r="D32" s="14"/>
      <c r="E32" s="14"/>
      <c r="F32" s="14" t="s">
        <v>88</v>
      </c>
      <c r="G32" s="13"/>
      <c r="H32" s="14">
        <f>IF(C32="X",1)+IF(D32="X",2)+IF(E32="X",3)+IF(F32="X",4)+IF(G32="X",5)</f>
        <v>4</v>
      </c>
    </row>
    <row r="33" spans="1:8" ht="24" customHeight="1" x14ac:dyDescent="0.3">
      <c r="A33" s="15"/>
      <c r="B33" s="16" t="s">
        <v>53</v>
      </c>
      <c r="C33" s="15"/>
      <c r="D33" s="15"/>
      <c r="E33" s="15"/>
      <c r="F33" s="15"/>
      <c r="G33" s="15"/>
      <c r="H33" s="17">
        <f>AVERAGE(H29:H32)</f>
        <v>3.75</v>
      </c>
    </row>
    <row r="35" spans="1:8" ht="27.75" customHeight="1" x14ac:dyDescent="0.3">
      <c r="A35" s="5" t="s">
        <v>54</v>
      </c>
      <c r="B35" s="5"/>
      <c r="C35" s="5"/>
      <c r="D35" s="5"/>
      <c r="E35" s="5"/>
      <c r="F35" s="5"/>
      <c r="G35" s="5"/>
      <c r="H35" s="5"/>
    </row>
    <row r="36" spans="1:8" ht="33.75" customHeight="1" x14ac:dyDescent="0.3">
      <c r="A36" s="12" t="s">
        <v>20</v>
      </c>
      <c r="B36" s="12" t="s">
        <v>21</v>
      </c>
      <c r="C36" s="12" t="s">
        <v>131</v>
      </c>
      <c r="D36" s="12" t="s">
        <v>132</v>
      </c>
      <c r="E36" s="12" t="s">
        <v>133</v>
      </c>
      <c r="F36" s="12" t="s">
        <v>134</v>
      </c>
      <c r="G36" s="12" t="s">
        <v>135</v>
      </c>
      <c r="H36" s="12" t="s">
        <v>22</v>
      </c>
    </row>
    <row r="37" spans="1:8" ht="25.5" customHeight="1" x14ac:dyDescent="0.3">
      <c r="A37" s="9" t="s">
        <v>55</v>
      </c>
      <c r="B37" s="10" t="s">
        <v>56</v>
      </c>
      <c r="C37" s="8"/>
      <c r="D37" s="8"/>
      <c r="E37" s="8"/>
      <c r="F37" s="8"/>
      <c r="G37" s="13" t="s">
        <v>88</v>
      </c>
      <c r="H37" s="8">
        <f>IF(C37="X",1)+IF(D37="X",2)+IF(E37="X",3)+IF(F37="X",4)+IF(G37="X",5)</f>
        <v>5</v>
      </c>
    </row>
    <row r="38" spans="1:8" ht="25.5" customHeight="1" x14ac:dyDescent="0.3">
      <c r="A38" s="6" t="s">
        <v>57</v>
      </c>
      <c r="B38" s="7" t="s">
        <v>58</v>
      </c>
      <c r="C38" s="14"/>
      <c r="D38" s="14"/>
      <c r="E38" s="14"/>
      <c r="F38" s="14" t="s">
        <v>88</v>
      </c>
      <c r="G38" s="13"/>
      <c r="H38" s="14">
        <f>IF(C38="X",1)+IF(D38="X",2)+IF(E38="X",3)+IF(F38="X",4)+IF(G38="X",5)</f>
        <v>4</v>
      </c>
    </row>
    <row r="39" spans="1:8" ht="25.5" customHeight="1" x14ac:dyDescent="0.3">
      <c r="A39" s="9" t="s">
        <v>59</v>
      </c>
      <c r="B39" s="10" t="s">
        <v>60</v>
      </c>
      <c r="C39" s="8"/>
      <c r="D39" s="8"/>
      <c r="E39" s="8"/>
      <c r="F39" s="8"/>
      <c r="G39" s="13" t="s">
        <v>88</v>
      </c>
      <c r="H39" s="8">
        <f>IF(C39="X",1)+IF(D39="X",2)+IF(E39="X",3)+IF(F39="X",4)+IF(G39="X",5)</f>
        <v>5</v>
      </c>
    </row>
    <row r="40" spans="1:8" ht="25.5" customHeight="1" x14ac:dyDescent="0.3">
      <c r="A40" s="6" t="s">
        <v>61</v>
      </c>
      <c r="B40" s="7" t="s">
        <v>62</v>
      </c>
      <c r="C40" s="14"/>
      <c r="D40" s="14"/>
      <c r="E40" s="14"/>
      <c r="F40" s="14"/>
      <c r="G40" s="13" t="s">
        <v>88</v>
      </c>
      <c r="H40" s="14">
        <f>IF(C40="X",1)+IF(D40="X",2)+IF(E40="X",3)+IF(F40="X",4)+IF(G40="X",5)</f>
        <v>5</v>
      </c>
    </row>
    <row r="41" spans="1:8" ht="24" customHeight="1" x14ac:dyDescent="0.3">
      <c r="A41" s="15"/>
      <c r="B41" s="16" t="s">
        <v>63</v>
      </c>
      <c r="C41" s="15"/>
      <c r="D41" s="15"/>
      <c r="E41" s="15"/>
      <c r="F41" s="15"/>
      <c r="G41" s="15"/>
      <c r="H41" s="17">
        <f>AVERAGE(H37:H40)</f>
        <v>4.75</v>
      </c>
    </row>
    <row r="43" spans="1:8" ht="27.75" customHeight="1" x14ac:dyDescent="0.3">
      <c r="A43" s="5" t="s">
        <v>64</v>
      </c>
      <c r="B43" s="5"/>
      <c r="C43" s="5"/>
      <c r="D43" s="5"/>
      <c r="E43" s="5"/>
      <c r="F43" s="5"/>
      <c r="G43" s="5"/>
      <c r="H43" s="5"/>
    </row>
    <row r="44" spans="1:8" ht="30" customHeight="1" x14ac:dyDescent="0.3">
      <c r="A44" s="6" t="s">
        <v>65</v>
      </c>
      <c r="B44" s="7" t="s">
        <v>66</v>
      </c>
      <c r="C44" s="19" t="s">
        <v>89</v>
      </c>
      <c r="D44" s="19"/>
      <c r="E44" s="19"/>
      <c r="F44" s="19"/>
      <c r="G44" s="19"/>
      <c r="H44" s="19"/>
    </row>
    <row r="45" spans="1:8" ht="30" customHeight="1" x14ac:dyDescent="0.3">
      <c r="A45" s="9" t="s">
        <v>67</v>
      </c>
      <c r="B45" s="10" t="s">
        <v>68</v>
      </c>
      <c r="C45" s="18" t="s">
        <v>18</v>
      </c>
      <c r="D45" s="18"/>
      <c r="E45" s="18"/>
      <c r="F45" s="18"/>
      <c r="G45" s="18"/>
      <c r="H45" s="18"/>
    </row>
    <row r="46" spans="1:8" ht="30" customHeight="1" x14ac:dyDescent="0.3">
      <c r="A46" s="6" t="s">
        <v>69</v>
      </c>
      <c r="B46" s="7" t="s">
        <v>70</v>
      </c>
      <c r="C46" s="19" t="s">
        <v>90</v>
      </c>
      <c r="D46" s="19"/>
      <c r="E46" s="19"/>
      <c r="F46" s="19"/>
      <c r="G46" s="19"/>
      <c r="H46" s="19"/>
    </row>
    <row r="47" spans="1:8" ht="30" customHeight="1" x14ac:dyDescent="0.3">
      <c r="A47" s="9" t="s">
        <v>71</v>
      </c>
      <c r="B47" s="10" t="s">
        <v>72</v>
      </c>
      <c r="C47" s="18" t="s">
        <v>100</v>
      </c>
      <c r="D47" s="18"/>
      <c r="E47" s="18"/>
      <c r="F47" s="18"/>
      <c r="G47" s="18"/>
      <c r="H47" s="18"/>
    </row>
    <row r="48" spans="1:8" ht="30" customHeight="1" x14ac:dyDescent="0.3">
      <c r="A48" s="6" t="s">
        <v>73</v>
      </c>
      <c r="B48" s="7" t="s">
        <v>74</v>
      </c>
      <c r="C48" s="19" t="s">
        <v>101</v>
      </c>
      <c r="D48" s="19"/>
      <c r="E48" s="19"/>
      <c r="F48" s="19"/>
      <c r="G48" s="19"/>
      <c r="H48" s="19"/>
    </row>
    <row r="49" spans="1:8" ht="30" customHeight="1" x14ac:dyDescent="0.3">
      <c r="A49" s="9" t="s">
        <v>75</v>
      </c>
      <c r="B49" s="10" t="s">
        <v>76</v>
      </c>
      <c r="C49" s="18" t="s">
        <v>100</v>
      </c>
      <c r="D49" s="18"/>
      <c r="E49" s="18"/>
      <c r="F49" s="18"/>
      <c r="G49" s="18"/>
      <c r="H49" s="18"/>
    </row>
    <row r="51" spans="1:8" ht="27.75" customHeight="1" x14ac:dyDescent="0.3">
      <c r="A51" s="5" t="s">
        <v>77</v>
      </c>
      <c r="B51" s="5"/>
      <c r="C51" s="5"/>
      <c r="D51" s="5"/>
      <c r="E51" s="5"/>
      <c r="F51" s="5"/>
      <c r="G51" s="5"/>
      <c r="H51" s="5"/>
    </row>
    <row r="52" spans="1:8" ht="31.5" customHeight="1" x14ac:dyDescent="0.3">
      <c r="A52" s="6" t="s">
        <v>78</v>
      </c>
      <c r="B52" s="7" t="s">
        <v>79</v>
      </c>
      <c r="C52" s="19" t="s">
        <v>94</v>
      </c>
      <c r="D52" s="19"/>
      <c r="E52" s="19"/>
      <c r="F52" s="19"/>
      <c r="G52" s="19"/>
      <c r="H52" s="19"/>
    </row>
    <row r="53" spans="1:8" ht="31.5" customHeight="1" x14ac:dyDescent="0.3">
      <c r="A53" s="9" t="s">
        <v>80</v>
      </c>
      <c r="B53" s="10" t="s">
        <v>81</v>
      </c>
      <c r="C53" s="18" t="s">
        <v>95</v>
      </c>
      <c r="D53" s="18"/>
      <c r="E53" s="18"/>
      <c r="F53" s="18"/>
      <c r="G53" s="18"/>
      <c r="H53" s="18"/>
    </row>
    <row r="54" spans="1:8" ht="31.5" customHeight="1" x14ac:dyDescent="0.3">
      <c r="A54" s="6" t="s">
        <v>82</v>
      </c>
      <c r="B54" s="7" t="s">
        <v>83</v>
      </c>
      <c r="C54" s="19" t="s">
        <v>102</v>
      </c>
      <c r="D54" s="19"/>
      <c r="E54" s="19"/>
      <c r="F54" s="19"/>
      <c r="G54" s="19"/>
      <c r="H54" s="19"/>
    </row>
    <row r="55" spans="1:8" ht="31.5" customHeight="1" x14ac:dyDescent="0.3">
      <c r="A55" s="9" t="s">
        <v>84</v>
      </c>
      <c r="B55" s="10" t="s">
        <v>85</v>
      </c>
      <c r="C55" s="18" t="s">
        <v>103</v>
      </c>
      <c r="D55" s="18"/>
      <c r="E55" s="18"/>
      <c r="F55" s="18"/>
      <c r="G55" s="18"/>
      <c r="H55" s="18"/>
    </row>
    <row r="56" spans="1:8" ht="31.5" customHeight="1" x14ac:dyDescent="0.3">
      <c r="A56" s="6" t="s">
        <v>86</v>
      </c>
      <c r="B56" s="7" t="s">
        <v>87</v>
      </c>
      <c r="C56" s="19" t="s">
        <v>150</v>
      </c>
      <c r="D56" s="19"/>
      <c r="E56" s="19"/>
      <c r="F56" s="19"/>
      <c r="G56" s="19"/>
      <c r="H56" s="19"/>
    </row>
  </sheetData>
  <mergeCells count="19">
    <mergeCell ref="C53:H53"/>
    <mergeCell ref="C54:H54"/>
    <mergeCell ref="C55:H55"/>
    <mergeCell ref="C56:H56"/>
    <mergeCell ref="C47:H47"/>
    <mergeCell ref="C48:H48"/>
    <mergeCell ref="C49:H49"/>
    <mergeCell ref="A51:H51"/>
    <mergeCell ref="C52:H52"/>
    <mergeCell ref="A35:H35"/>
    <mergeCell ref="A43:H43"/>
    <mergeCell ref="C44:H44"/>
    <mergeCell ref="C45:H45"/>
    <mergeCell ref="C46:H46"/>
    <mergeCell ref="A1:H1"/>
    <mergeCell ref="A3:H3"/>
    <mergeCell ref="A10:H10"/>
    <mergeCell ref="A19:H19"/>
    <mergeCell ref="A27:H2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6"/>
  <sheetViews>
    <sheetView showGridLines="0" zoomScaleNormal="100" workbookViewId="0">
      <pane ySplit="2" topLeftCell="A48" activePane="bottomLeft" state="frozen"/>
      <selection pane="bottomLeft" sqref="A1:H1"/>
    </sheetView>
  </sheetViews>
  <sheetFormatPr defaultColWidth="8.6640625" defaultRowHeight="14.4" x14ac:dyDescent="0.3"/>
  <cols>
    <col min="1" max="1" width="10" style="4" customWidth="1"/>
    <col min="2" max="2" width="62" style="4" customWidth="1"/>
    <col min="3" max="7" width="15" style="4" customWidth="1"/>
    <col min="8" max="8" width="10" style="4" customWidth="1"/>
    <col min="9" max="16384" width="8.6640625" style="4"/>
  </cols>
  <sheetData>
    <row r="1" spans="1:8" ht="31.5" customHeight="1" x14ac:dyDescent="0.3">
      <c r="A1" s="21" t="s">
        <v>186</v>
      </c>
      <c r="B1" s="21"/>
      <c r="C1" s="21"/>
      <c r="D1" s="21"/>
      <c r="E1" s="21"/>
      <c r="F1" s="21"/>
      <c r="G1" s="21"/>
      <c r="H1" s="21"/>
    </row>
    <row r="3" spans="1:8" ht="27.75" customHeight="1" x14ac:dyDescent="0.3">
      <c r="A3" s="5" t="s">
        <v>0</v>
      </c>
      <c r="B3" s="5"/>
      <c r="C3" s="5"/>
      <c r="D3" s="5"/>
      <c r="E3" s="5"/>
      <c r="F3" s="5"/>
      <c r="G3" s="5"/>
      <c r="H3" s="5"/>
    </row>
    <row r="4" spans="1:8" ht="24" customHeight="1" x14ac:dyDescent="0.3">
      <c r="A4" s="6" t="s">
        <v>1</v>
      </c>
      <c r="B4" s="7" t="s">
        <v>2</v>
      </c>
      <c r="C4" s="8" t="s">
        <v>3</v>
      </c>
      <c r="D4" s="8" t="s">
        <v>4</v>
      </c>
      <c r="E4" s="3" t="s">
        <v>5</v>
      </c>
      <c r="F4" s="8" t="s">
        <v>6</v>
      </c>
    </row>
    <row r="5" spans="1:8" ht="24" customHeight="1" x14ac:dyDescent="0.3">
      <c r="A5" s="9" t="s">
        <v>7</v>
      </c>
      <c r="B5" s="10" t="s">
        <v>8</v>
      </c>
      <c r="C5" s="3" t="s">
        <v>136</v>
      </c>
      <c r="D5" s="8" t="s">
        <v>10</v>
      </c>
      <c r="E5" s="8" t="s">
        <v>11</v>
      </c>
      <c r="F5" s="8" t="s">
        <v>12</v>
      </c>
    </row>
    <row r="6" spans="1:8" ht="24" customHeight="1" x14ac:dyDescent="0.3">
      <c r="A6" s="6" t="s">
        <v>13</v>
      </c>
      <c r="B6" s="7" t="s">
        <v>14</v>
      </c>
      <c r="C6" s="3" t="s">
        <v>9</v>
      </c>
      <c r="D6" s="8" t="s">
        <v>10</v>
      </c>
      <c r="E6" s="8" t="s">
        <v>11</v>
      </c>
      <c r="F6" s="8" t="s">
        <v>12</v>
      </c>
    </row>
    <row r="7" spans="1:8" ht="24" customHeight="1" x14ac:dyDescent="0.3">
      <c r="A7" s="9" t="s">
        <v>15</v>
      </c>
      <c r="B7" s="10" t="s">
        <v>16</v>
      </c>
      <c r="C7" s="3" t="s">
        <v>149</v>
      </c>
      <c r="D7" s="8" t="s">
        <v>18</v>
      </c>
      <c r="E7" s="11"/>
      <c r="F7" s="11"/>
    </row>
    <row r="8" spans="1:8" x14ac:dyDescent="0.3">
      <c r="B8" s="39" t="s">
        <v>104</v>
      </c>
    </row>
    <row r="10" spans="1:8" ht="27.75" customHeight="1" x14ac:dyDescent="0.3">
      <c r="A10" s="5" t="s">
        <v>19</v>
      </c>
      <c r="B10" s="5"/>
      <c r="C10" s="5"/>
      <c r="D10" s="5"/>
      <c r="E10" s="5"/>
      <c r="F10" s="5"/>
      <c r="G10" s="5"/>
      <c r="H10" s="5"/>
    </row>
    <row r="11" spans="1:8" ht="33.75" customHeight="1" x14ac:dyDescent="0.3">
      <c r="A11" s="12" t="s">
        <v>20</v>
      </c>
      <c r="B11" s="12" t="s">
        <v>21</v>
      </c>
      <c r="C11" s="12" t="s">
        <v>131</v>
      </c>
      <c r="D11" s="12" t="s">
        <v>132</v>
      </c>
      <c r="E11" s="12" t="s">
        <v>133</v>
      </c>
      <c r="F11" s="12" t="s">
        <v>134</v>
      </c>
      <c r="G11" s="12" t="s">
        <v>135</v>
      </c>
      <c r="H11" s="12" t="s">
        <v>22</v>
      </c>
    </row>
    <row r="12" spans="1:8" ht="25.5" customHeight="1" x14ac:dyDescent="0.3">
      <c r="A12" s="6" t="s">
        <v>23</v>
      </c>
      <c r="B12" s="7" t="s">
        <v>24</v>
      </c>
      <c r="C12" s="14"/>
      <c r="D12" s="14"/>
      <c r="E12" s="14"/>
      <c r="F12" s="14"/>
      <c r="G12" s="13" t="s">
        <v>88</v>
      </c>
      <c r="H12" s="14">
        <f>IF(C12="X",1)+IF(D12="X",2)+IF(E12="X",3)+IF(F12="X",4)+IF(G12="X",5)</f>
        <v>5</v>
      </c>
    </row>
    <row r="13" spans="1:8" ht="25.5" customHeight="1" x14ac:dyDescent="0.3">
      <c r="A13" s="9" t="s">
        <v>25</v>
      </c>
      <c r="B13" s="10" t="s">
        <v>26</v>
      </c>
      <c r="C13" s="8"/>
      <c r="D13" s="8"/>
      <c r="E13" s="8"/>
      <c r="F13" s="8"/>
      <c r="G13" s="13" t="s">
        <v>88</v>
      </c>
      <c r="H13" s="8">
        <f>IF(C13="X",1)+IF(D13="X",2)+IF(E13="X",3)+IF(F13="X",4)+IF(G13="X",5)</f>
        <v>5</v>
      </c>
    </row>
    <row r="14" spans="1:8" ht="25.5" customHeight="1" x14ac:dyDescent="0.3">
      <c r="A14" s="6" t="s">
        <v>27</v>
      </c>
      <c r="B14" s="7" t="s">
        <v>28</v>
      </c>
      <c r="C14" s="14"/>
      <c r="D14" s="14"/>
      <c r="E14" s="14"/>
      <c r="F14" s="14"/>
      <c r="G14" s="13" t="s">
        <v>88</v>
      </c>
      <c r="H14" s="14">
        <f>IF(C14="X",1)+IF(D14="X",2)+IF(E14="X",3)+IF(F14="X",4)+IF(G14="X",5)</f>
        <v>5</v>
      </c>
    </row>
    <row r="15" spans="1:8" ht="25.5" customHeight="1" x14ac:dyDescent="0.3">
      <c r="A15" s="9" t="s">
        <v>29</v>
      </c>
      <c r="B15" s="10" t="s">
        <v>30</v>
      </c>
      <c r="C15" s="8"/>
      <c r="D15" s="8"/>
      <c r="E15" s="8"/>
      <c r="F15" s="8"/>
      <c r="G15" s="13" t="s">
        <v>88</v>
      </c>
      <c r="H15" s="8">
        <f>IF(C15="X",1)+IF(D15="X",2)+IF(E15="X",3)+IF(F15="X",4)+IF(G15="X",5)</f>
        <v>5</v>
      </c>
    </row>
    <row r="16" spans="1:8" ht="25.5" customHeight="1" x14ac:dyDescent="0.3">
      <c r="A16" s="6" t="s">
        <v>31</v>
      </c>
      <c r="B16" s="7" t="s">
        <v>32</v>
      </c>
      <c r="C16" s="14"/>
      <c r="D16" s="14"/>
      <c r="E16" s="14"/>
      <c r="F16" s="13"/>
      <c r="G16" s="14" t="s">
        <v>88</v>
      </c>
      <c r="H16" s="14">
        <f>IF(C16="X",1)+IF(D16="X",2)+IF(E16="X",3)+IF(F16="X",4)+IF(G16="X",5)</f>
        <v>5</v>
      </c>
    </row>
    <row r="17" spans="1:8" ht="24" customHeight="1" x14ac:dyDescent="0.3">
      <c r="A17" s="15"/>
      <c r="B17" s="16" t="s">
        <v>33</v>
      </c>
      <c r="C17" s="15"/>
      <c r="D17" s="15"/>
      <c r="E17" s="15"/>
      <c r="F17" s="15"/>
      <c r="G17" s="15"/>
      <c r="H17" s="17">
        <f>AVERAGE(H12:H16)</f>
        <v>5</v>
      </c>
    </row>
    <row r="19" spans="1:8" ht="27.75" customHeight="1" x14ac:dyDescent="0.3">
      <c r="A19" s="5" t="s">
        <v>34</v>
      </c>
      <c r="B19" s="5"/>
      <c r="C19" s="5"/>
      <c r="D19" s="5"/>
      <c r="E19" s="5"/>
      <c r="F19" s="5"/>
      <c r="G19" s="5"/>
      <c r="H19" s="5"/>
    </row>
    <row r="20" spans="1:8" ht="33.75" customHeight="1" x14ac:dyDescent="0.3">
      <c r="A20" s="12" t="s">
        <v>20</v>
      </c>
      <c r="B20" s="12" t="s">
        <v>21</v>
      </c>
      <c r="C20" s="12" t="s">
        <v>131</v>
      </c>
      <c r="D20" s="12" t="s">
        <v>132</v>
      </c>
      <c r="E20" s="12" t="s">
        <v>133</v>
      </c>
      <c r="F20" s="12" t="s">
        <v>134</v>
      </c>
      <c r="G20" s="12" t="s">
        <v>135</v>
      </c>
      <c r="H20" s="12" t="s">
        <v>22</v>
      </c>
    </row>
    <row r="21" spans="1:8" ht="25.5" customHeight="1" x14ac:dyDescent="0.3">
      <c r="A21" s="9" t="s">
        <v>35</v>
      </c>
      <c r="B21" s="10" t="s">
        <v>36</v>
      </c>
      <c r="C21" s="8"/>
      <c r="D21" s="8"/>
      <c r="E21" s="8"/>
      <c r="F21" s="8"/>
      <c r="G21" s="13" t="s">
        <v>88</v>
      </c>
      <c r="H21" s="8">
        <f>IF(C21="X",1)+IF(D21="X",2)+IF(E21="X",3)+IF(F21="X",4)+IF(G21="X",5)</f>
        <v>5</v>
      </c>
    </row>
    <row r="22" spans="1:8" ht="25.5" customHeight="1" x14ac:dyDescent="0.3">
      <c r="A22" s="6" t="s">
        <v>37</v>
      </c>
      <c r="B22" s="7" t="s">
        <v>38</v>
      </c>
      <c r="C22" s="14"/>
      <c r="D22" s="14"/>
      <c r="E22" s="14"/>
      <c r="F22" s="14"/>
      <c r="G22" s="13" t="s">
        <v>88</v>
      </c>
      <c r="H22" s="14">
        <f>IF(C22="X",1)+IF(D22="X",2)+IF(E22="X",3)+IF(F22="X",4)+IF(G22="X",5)</f>
        <v>5</v>
      </c>
    </row>
    <row r="23" spans="1:8" ht="25.5" customHeight="1" x14ac:dyDescent="0.3">
      <c r="A23" s="9" t="s">
        <v>39</v>
      </c>
      <c r="B23" s="10" t="s">
        <v>40</v>
      </c>
      <c r="C23" s="8"/>
      <c r="D23" s="8"/>
      <c r="E23" s="8" t="s">
        <v>88</v>
      </c>
      <c r="F23" s="13"/>
      <c r="G23" s="8"/>
      <c r="H23" s="8">
        <f>IF(C23="X",1)+IF(D23="X",2)+IF(E23="X",3)+IF(F23="X",4)+IF(G23="X",5)</f>
        <v>3</v>
      </c>
    </row>
    <row r="24" spans="1:8" ht="25.5" customHeight="1" x14ac:dyDescent="0.3">
      <c r="A24" s="6" t="s">
        <v>41</v>
      </c>
      <c r="B24" s="7" t="s">
        <v>42</v>
      </c>
      <c r="C24" s="14"/>
      <c r="D24" s="14"/>
      <c r="E24" s="14"/>
      <c r="F24" s="14"/>
      <c r="G24" s="13" t="s">
        <v>88</v>
      </c>
      <c r="H24" s="14">
        <f>IF(C24="X",1)+IF(D24="X",2)+IF(E24="X",3)+IF(F24="X",4)+IF(G24="X",5)</f>
        <v>5</v>
      </c>
    </row>
    <row r="25" spans="1:8" ht="24" customHeight="1" x14ac:dyDescent="0.3">
      <c r="A25" s="15"/>
      <c r="B25" s="16" t="s">
        <v>43</v>
      </c>
      <c r="C25" s="15"/>
      <c r="D25" s="15"/>
      <c r="E25" s="15"/>
      <c r="F25" s="15"/>
      <c r="G25" s="15"/>
      <c r="H25" s="17">
        <f>AVERAGE(H21:H24)</f>
        <v>4.5</v>
      </c>
    </row>
    <row r="27" spans="1:8" ht="27.75" customHeight="1" x14ac:dyDescent="0.3">
      <c r="A27" s="5" t="s">
        <v>44</v>
      </c>
      <c r="B27" s="5"/>
      <c r="C27" s="5"/>
      <c r="D27" s="5"/>
      <c r="E27" s="5"/>
      <c r="F27" s="5"/>
      <c r="G27" s="5"/>
      <c r="H27" s="5"/>
    </row>
    <row r="28" spans="1:8" ht="33.75" customHeight="1" x14ac:dyDescent="0.3">
      <c r="A28" s="12" t="s">
        <v>20</v>
      </c>
      <c r="B28" s="12" t="s">
        <v>21</v>
      </c>
      <c r="C28" s="12" t="s">
        <v>131</v>
      </c>
      <c r="D28" s="12" t="s">
        <v>132</v>
      </c>
      <c r="E28" s="12" t="s">
        <v>133</v>
      </c>
      <c r="F28" s="12" t="s">
        <v>134</v>
      </c>
      <c r="G28" s="12" t="s">
        <v>135</v>
      </c>
      <c r="H28" s="12" t="s">
        <v>22</v>
      </c>
    </row>
    <row r="29" spans="1:8" ht="25.5" customHeight="1" x14ac:dyDescent="0.3">
      <c r="A29" s="9" t="s">
        <v>45</v>
      </c>
      <c r="B29" s="10" t="s">
        <v>46</v>
      </c>
      <c r="C29" s="8"/>
      <c r="D29" s="8"/>
      <c r="E29" s="8"/>
      <c r="F29" s="8"/>
      <c r="G29" s="13" t="s">
        <v>88</v>
      </c>
      <c r="H29" s="8">
        <f>IF(C29="X",1)+IF(D29="X",2)+IF(E29="X",3)+IF(F29="X",4)+IF(G29="X",5)</f>
        <v>5</v>
      </c>
    </row>
    <row r="30" spans="1:8" ht="25.5" customHeight="1" x14ac:dyDescent="0.3">
      <c r="A30" s="6" t="s">
        <v>47</v>
      </c>
      <c r="B30" s="7" t="s">
        <v>48</v>
      </c>
      <c r="C30" s="14"/>
      <c r="D30" s="14"/>
      <c r="E30" s="14"/>
      <c r="F30" s="14"/>
      <c r="G30" s="13" t="s">
        <v>88</v>
      </c>
      <c r="H30" s="14">
        <f>IF(C30="X",1)+IF(D30="X",2)+IF(E30="X",3)+IF(F30="X",4)+IF(G30="X",5)</f>
        <v>5</v>
      </c>
    </row>
    <row r="31" spans="1:8" ht="25.5" customHeight="1" x14ac:dyDescent="0.3">
      <c r="A31" s="9" t="s">
        <v>49</v>
      </c>
      <c r="B31" s="10" t="s">
        <v>50</v>
      </c>
      <c r="C31" s="8"/>
      <c r="D31" s="8"/>
      <c r="E31" s="8"/>
      <c r="F31" s="13" t="s">
        <v>88</v>
      </c>
      <c r="G31" s="8"/>
      <c r="H31" s="8">
        <f>IF(C31="X",1)+IF(D31="X",2)+IF(E31="X",3)+IF(F31="X",4)+IF(G31="X",5)</f>
        <v>4</v>
      </c>
    </row>
    <row r="32" spans="1:8" ht="25.5" customHeight="1" x14ac:dyDescent="0.3">
      <c r="A32" s="6" t="s">
        <v>51</v>
      </c>
      <c r="B32" s="7" t="s">
        <v>52</v>
      </c>
      <c r="C32" s="14"/>
      <c r="D32" s="14"/>
      <c r="E32" s="14"/>
      <c r="F32" s="14"/>
      <c r="G32" s="13" t="s">
        <v>88</v>
      </c>
      <c r="H32" s="14">
        <f>IF(C32="X",1)+IF(D32="X",2)+IF(E32="X",3)+IF(F32="X",4)+IF(G32="X",5)</f>
        <v>5</v>
      </c>
    </row>
    <row r="33" spans="1:8" ht="24" customHeight="1" x14ac:dyDescent="0.3">
      <c r="A33" s="15"/>
      <c r="B33" s="16" t="s">
        <v>53</v>
      </c>
      <c r="C33" s="15"/>
      <c r="D33" s="15"/>
      <c r="E33" s="15"/>
      <c r="F33" s="15"/>
      <c r="G33" s="15"/>
      <c r="H33" s="17">
        <f>AVERAGE(H29:H32)</f>
        <v>4.75</v>
      </c>
    </row>
    <row r="35" spans="1:8" ht="27.75" customHeight="1" x14ac:dyDescent="0.3">
      <c r="A35" s="5" t="s">
        <v>54</v>
      </c>
      <c r="B35" s="5"/>
      <c r="C35" s="5"/>
      <c r="D35" s="5"/>
      <c r="E35" s="5"/>
      <c r="F35" s="5"/>
      <c r="G35" s="5"/>
      <c r="H35" s="5"/>
    </row>
    <row r="36" spans="1:8" ht="33.75" customHeight="1" x14ac:dyDescent="0.3">
      <c r="A36" s="12" t="s">
        <v>20</v>
      </c>
      <c r="B36" s="12" t="s">
        <v>21</v>
      </c>
      <c r="C36" s="12" t="s">
        <v>131</v>
      </c>
      <c r="D36" s="12" t="s">
        <v>132</v>
      </c>
      <c r="E36" s="12" t="s">
        <v>133</v>
      </c>
      <c r="F36" s="12" t="s">
        <v>134</v>
      </c>
      <c r="G36" s="12" t="s">
        <v>135</v>
      </c>
      <c r="H36" s="12" t="s">
        <v>22</v>
      </c>
    </row>
    <row r="37" spans="1:8" ht="25.5" customHeight="1" x14ac:dyDescent="0.3">
      <c r="A37" s="9" t="s">
        <v>55</v>
      </c>
      <c r="B37" s="10" t="s">
        <v>56</v>
      </c>
      <c r="C37" s="8"/>
      <c r="D37" s="8"/>
      <c r="E37" s="8"/>
      <c r="F37" s="13" t="s">
        <v>88</v>
      </c>
      <c r="G37" s="8"/>
      <c r="H37" s="8">
        <f>IF(C37="X",1)+IF(D37="X",2)+IF(E37="X",3)+IF(F37="X",4)+IF(G37="X",5)</f>
        <v>4</v>
      </c>
    </row>
    <row r="38" spans="1:8" ht="25.5" customHeight="1" x14ac:dyDescent="0.3">
      <c r="A38" s="6" t="s">
        <v>57</v>
      </c>
      <c r="B38" s="7" t="s">
        <v>58</v>
      </c>
      <c r="C38" s="14"/>
      <c r="D38" s="14"/>
      <c r="E38" s="14" t="s">
        <v>88</v>
      </c>
      <c r="F38" s="14"/>
      <c r="G38" s="13"/>
      <c r="H38" s="14">
        <f>IF(C38="X",1)+IF(D38="X",2)+IF(E38="X",3)+IF(F38="X",4)+IF(G38="X",5)</f>
        <v>3</v>
      </c>
    </row>
    <row r="39" spans="1:8" ht="25.5" customHeight="1" x14ac:dyDescent="0.3">
      <c r="A39" s="9" t="s">
        <v>59</v>
      </c>
      <c r="B39" s="10" t="s">
        <v>60</v>
      </c>
      <c r="C39" s="8"/>
      <c r="D39" s="8"/>
      <c r="E39" s="8"/>
      <c r="F39" s="13" t="s">
        <v>88</v>
      </c>
      <c r="G39" s="8"/>
      <c r="H39" s="8">
        <f>IF(C39="X",1)+IF(D39="X",2)+IF(E39="X",3)+IF(F39="X",4)+IF(G39="X",5)</f>
        <v>4</v>
      </c>
    </row>
    <row r="40" spans="1:8" ht="25.5" customHeight="1" x14ac:dyDescent="0.3">
      <c r="A40" s="6" t="s">
        <v>61</v>
      </c>
      <c r="B40" s="7" t="s">
        <v>62</v>
      </c>
      <c r="C40" s="14"/>
      <c r="D40" s="14"/>
      <c r="E40" s="14"/>
      <c r="F40" s="14"/>
      <c r="G40" s="13" t="s">
        <v>88</v>
      </c>
      <c r="H40" s="14">
        <f>IF(C40="X",1)+IF(D40="X",2)+IF(E40="X",3)+IF(F40="X",4)+IF(G40="X",5)</f>
        <v>5</v>
      </c>
    </row>
    <row r="41" spans="1:8" ht="24" customHeight="1" x14ac:dyDescent="0.3">
      <c r="A41" s="15"/>
      <c r="B41" s="16" t="s">
        <v>63</v>
      </c>
      <c r="C41" s="15"/>
      <c r="D41" s="15"/>
      <c r="E41" s="15"/>
      <c r="F41" s="15"/>
      <c r="G41" s="15"/>
      <c r="H41" s="17">
        <f>AVERAGE(H37:H40)</f>
        <v>4</v>
      </c>
    </row>
    <row r="43" spans="1:8" ht="27.75" customHeight="1" x14ac:dyDescent="0.3">
      <c r="A43" s="5" t="s">
        <v>64</v>
      </c>
      <c r="B43" s="5"/>
      <c r="C43" s="5"/>
      <c r="D43" s="5"/>
      <c r="E43" s="5"/>
      <c r="F43" s="5"/>
      <c r="G43" s="5"/>
      <c r="H43" s="5"/>
    </row>
    <row r="44" spans="1:8" ht="30" customHeight="1" x14ac:dyDescent="0.3">
      <c r="A44" s="6" t="s">
        <v>65</v>
      </c>
      <c r="B44" s="7" t="s">
        <v>66</v>
      </c>
      <c r="C44" s="19" t="s">
        <v>89</v>
      </c>
      <c r="D44" s="19"/>
      <c r="E44" s="19"/>
      <c r="F44" s="19"/>
      <c r="G44" s="19"/>
      <c r="H44" s="19"/>
    </row>
    <row r="45" spans="1:8" ht="30" customHeight="1" x14ac:dyDescent="0.3">
      <c r="A45" s="9" t="s">
        <v>67</v>
      </c>
      <c r="B45" s="10" t="s">
        <v>68</v>
      </c>
      <c r="C45" s="18" t="s">
        <v>105</v>
      </c>
      <c r="D45" s="18"/>
      <c r="E45" s="18"/>
      <c r="F45" s="18"/>
      <c r="G45" s="18"/>
      <c r="H45" s="18"/>
    </row>
    <row r="46" spans="1:8" ht="30" customHeight="1" x14ac:dyDescent="0.3">
      <c r="A46" s="6" t="s">
        <v>69</v>
      </c>
      <c r="B46" s="7" t="s">
        <v>70</v>
      </c>
      <c r="C46" s="19" t="s">
        <v>106</v>
      </c>
      <c r="D46" s="19"/>
      <c r="E46" s="19"/>
      <c r="F46" s="19"/>
      <c r="G46" s="19"/>
      <c r="H46" s="19"/>
    </row>
    <row r="47" spans="1:8" ht="30" customHeight="1" x14ac:dyDescent="0.3">
      <c r="A47" s="9" t="s">
        <v>71</v>
      </c>
      <c r="B47" s="10" t="s">
        <v>72</v>
      </c>
      <c r="C47" s="18" t="s">
        <v>100</v>
      </c>
      <c r="D47" s="18"/>
      <c r="E47" s="18"/>
      <c r="F47" s="18"/>
      <c r="G47" s="18"/>
      <c r="H47" s="18"/>
    </row>
    <row r="48" spans="1:8" ht="30" customHeight="1" x14ac:dyDescent="0.3">
      <c r="A48" s="6" t="s">
        <v>73</v>
      </c>
      <c r="B48" s="7" t="s">
        <v>74</v>
      </c>
      <c r="C48" s="19" t="s">
        <v>101</v>
      </c>
      <c r="D48" s="19"/>
      <c r="E48" s="19"/>
      <c r="F48" s="19"/>
      <c r="G48" s="19"/>
      <c r="H48" s="19"/>
    </row>
    <row r="49" spans="1:8" ht="30" customHeight="1" x14ac:dyDescent="0.3">
      <c r="A49" s="9" t="s">
        <v>75</v>
      </c>
      <c r="B49" s="10" t="s">
        <v>76</v>
      </c>
      <c r="C49" s="18" t="s">
        <v>100</v>
      </c>
      <c r="D49" s="18"/>
      <c r="E49" s="18"/>
      <c r="F49" s="18"/>
      <c r="G49" s="18"/>
      <c r="H49" s="18"/>
    </row>
    <row r="51" spans="1:8" ht="27.75" customHeight="1" x14ac:dyDescent="0.3">
      <c r="A51" s="5" t="s">
        <v>77</v>
      </c>
      <c r="B51" s="5"/>
      <c r="C51" s="5"/>
      <c r="D51" s="5"/>
      <c r="E51" s="5"/>
      <c r="F51" s="5"/>
      <c r="G51" s="5"/>
      <c r="H51" s="5"/>
    </row>
    <row r="52" spans="1:8" ht="31.5" customHeight="1" x14ac:dyDescent="0.3">
      <c r="A52" s="6" t="s">
        <v>78</v>
      </c>
      <c r="B52" s="7" t="s">
        <v>79</v>
      </c>
      <c r="C52" s="19" t="s">
        <v>94</v>
      </c>
      <c r="D52" s="19"/>
      <c r="E52" s="19"/>
      <c r="F52" s="19"/>
      <c r="G52" s="19"/>
      <c r="H52" s="19"/>
    </row>
    <row r="53" spans="1:8" ht="31.5" customHeight="1" x14ac:dyDescent="0.3">
      <c r="A53" s="9" t="s">
        <v>80</v>
      </c>
      <c r="B53" s="10" t="s">
        <v>81</v>
      </c>
      <c r="C53" s="18" t="s">
        <v>95</v>
      </c>
      <c r="D53" s="18"/>
      <c r="E53" s="18"/>
      <c r="F53" s="18"/>
      <c r="G53" s="18"/>
      <c r="H53" s="18"/>
    </row>
    <row r="54" spans="1:8" ht="31.5" customHeight="1" x14ac:dyDescent="0.3">
      <c r="A54" s="6" t="s">
        <v>82</v>
      </c>
      <c r="B54" s="7" t="s">
        <v>83</v>
      </c>
      <c r="C54" s="19" t="s">
        <v>151</v>
      </c>
      <c r="D54" s="19"/>
      <c r="E54" s="19"/>
      <c r="F54" s="19"/>
      <c r="G54" s="19"/>
      <c r="H54" s="19"/>
    </row>
    <row r="55" spans="1:8" ht="31.5" customHeight="1" x14ac:dyDescent="0.3">
      <c r="A55" s="9" t="s">
        <v>84</v>
      </c>
      <c r="B55" s="10" t="s">
        <v>85</v>
      </c>
      <c r="C55" s="18" t="s">
        <v>152</v>
      </c>
      <c r="D55" s="18"/>
      <c r="E55" s="18"/>
      <c r="F55" s="18"/>
      <c r="G55" s="18"/>
      <c r="H55" s="18"/>
    </row>
    <row r="56" spans="1:8" ht="31.5" customHeight="1" x14ac:dyDescent="0.3">
      <c r="A56" s="6" t="s">
        <v>86</v>
      </c>
      <c r="B56" s="7" t="s">
        <v>87</v>
      </c>
      <c r="C56" s="19" t="s">
        <v>152</v>
      </c>
      <c r="D56" s="19"/>
      <c r="E56" s="19"/>
      <c r="F56" s="19"/>
      <c r="G56" s="19"/>
      <c r="H56" s="19"/>
    </row>
  </sheetData>
  <mergeCells count="19">
    <mergeCell ref="C53:H53"/>
    <mergeCell ref="C54:H54"/>
    <mergeCell ref="C55:H55"/>
    <mergeCell ref="C56:H56"/>
    <mergeCell ref="C47:H47"/>
    <mergeCell ref="C48:H48"/>
    <mergeCell ref="C49:H49"/>
    <mergeCell ref="A51:H51"/>
    <mergeCell ref="C52:H52"/>
    <mergeCell ref="A35:H35"/>
    <mergeCell ref="A43:H43"/>
    <mergeCell ref="C44:H44"/>
    <mergeCell ref="C45:H45"/>
    <mergeCell ref="C46:H46"/>
    <mergeCell ref="A1:H1"/>
    <mergeCell ref="A3:H3"/>
    <mergeCell ref="A10:H10"/>
    <mergeCell ref="A19:H19"/>
    <mergeCell ref="A27:H2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6"/>
  <sheetViews>
    <sheetView showGridLines="0" zoomScaleNormal="100" workbookViewId="0">
      <pane ySplit="2" topLeftCell="A31" activePane="bottomLeft" state="frozen"/>
      <selection pane="bottomLeft" sqref="A1:H1"/>
    </sheetView>
  </sheetViews>
  <sheetFormatPr defaultColWidth="8.6640625" defaultRowHeight="14.4" x14ac:dyDescent="0.3"/>
  <cols>
    <col min="1" max="1" width="10" style="4" customWidth="1"/>
    <col min="2" max="2" width="62" style="4" customWidth="1"/>
    <col min="3" max="7" width="15" style="4" customWidth="1"/>
    <col min="8" max="8" width="10" style="4" customWidth="1"/>
    <col min="9" max="16384" width="8.6640625" style="4"/>
  </cols>
  <sheetData>
    <row r="1" spans="1:8" ht="31.5" customHeight="1" x14ac:dyDescent="0.3">
      <c r="A1" s="21" t="s">
        <v>187</v>
      </c>
      <c r="B1" s="21"/>
      <c r="C1" s="21"/>
      <c r="D1" s="21"/>
      <c r="E1" s="21"/>
      <c r="F1" s="21"/>
      <c r="G1" s="21"/>
      <c r="H1" s="21"/>
    </row>
    <row r="3" spans="1:8" ht="27.75" customHeight="1" x14ac:dyDescent="0.3">
      <c r="A3" s="5" t="s">
        <v>0</v>
      </c>
      <c r="B3" s="5"/>
      <c r="C3" s="5"/>
      <c r="D3" s="5"/>
      <c r="E3" s="5"/>
      <c r="F3" s="5"/>
      <c r="G3" s="5"/>
      <c r="H3" s="5"/>
    </row>
    <row r="4" spans="1:8" ht="24" customHeight="1" x14ac:dyDescent="0.3">
      <c r="A4" s="6" t="s">
        <v>1</v>
      </c>
      <c r="B4" s="7" t="s">
        <v>2</v>
      </c>
      <c r="C4" s="8" t="s">
        <v>3</v>
      </c>
      <c r="D4" s="8" t="s">
        <v>4</v>
      </c>
      <c r="E4" s="3" t="s">
        <v>153</v>
      </c>
      <c r="F4" s="8" t="s">
        <v>6</v>
      </c>
    </row>
    <row r="5" spans="1:8" ht="24" customHeight="1" x14ac:dyDescent="0.3">
      <c r="A5" s="9" t="s">
        <v>7</v>
      </c>
      <c r="B5" s="10" t="s">
        <v>8</v>
      </c>
      <c r="C5" s="3" t="s">
        <v>9</v>
      </c>
      <c r="D5" s="8" t="s">
        <v>10</v>
      </c>
      <c r="E5" s="8" t="s">
        <v>11</v>
      </c>
      <c r="F5" s="8" t="s">
        <v>12</v>
      </c>
    </row>
    <row r="6" spans="1:8" ht="24" customHeight="1" x14ac:dyDescent="0.3">
      <c r="A6" s="6" t="s">
        <v>13</v>
      </c>
      <c r="B6" s="7" t="s">
        <v>14</v>
      </c>
      <c r="C6" s="3" t="s">
        <v>9</v>
      </c>
      <c r="D6" s="8" t="s">
        <v>10</v>
      </c>
      <c r="E6" s="8" t="s">
        <v>11</v>
      </c>
      <c r="F6" s="8" t="s">
        <v>12</v>
      </c>
    </row>
    <row r="7" spans="1:8" ht="24" customHeight="1" x14ac:dyDescent="0.3">
      <c r="A7" s="9" t="s">
        <v>15</v>
      </c>
      <c r="B7" s="10" t="s">
        <v>16</v>
      </c>
      <c r="C7" s="3" t="s">
        <v>149</v>
      </c>
      <c r="D7" s="8" t="s">
        <v>18</v>
      </c>
      <c r="E7" s="11"/>
      <c r="F7" s="11"/>
    </row>
    <row r="8" spans="1:8" x14ac:dyDescent="0.3">
      <c r="B8" s="39" t="s">
        <v>107</v>
      </c>
    </row>
    <row r="10" spans="1:8" ht="27.75" customHeight="1" x14ac:dyDescent="0.3">
      <c r="A10" s="5" t="s">
        <v>19</v>
      </c>
      <c r="B10" s="5"/>
      <c r="C10" s="5"/>
      <c r="D10" s="5"/>
      <c r="E10" s="5"/>
      <c r="F10" s="5"/>
      <c r="G10" s="5"/>
      <c r="H10" s="5"/>
    </row>
    <row r="11" spans="1:8" ht="33.75" customHeight="1" x14ac:dyDescent="0.3">
      <c r="A11" s="12" t="s">
        <v>20</v>
      </c>
      <c r="B11" s="12" t="s">
        <v>21</v>
      </c>
      <c r="C11" s="12" t="s">
        <v>131</v>
      </c>
      <c r="D11" s="12" t="s">
        <v>132</v>
      </c>
      <c r="E11" s="12" t="s">
        <v>133</v>
      </c>
      <c r="F11" s="12" t="s">
        <v>134</v>
      </c>
      <c r="G11" s="12" t="s">
        <v>135</v>
      </c>
      <c r="H11" s="12" t="s">
        <v>22</v>
      </c>
    </row>
    <row r="12" spans="1:8" ht="25.5" customHeight="1" x14ac:dyDescent="0.3">
      <c r="A12" s="6" t="s">
        <v>23</v>
      </c>
      <c r="B12" s="7" t="s">
        <v>24</v>
      </c>
      <c r="C12" s="14"/>
      <c r="D12" s="14"/>
      <c r="E12" s="14"/>
      <c r="F12" s="13" t="s">
        <v>88</v>
      </c>
      <c r="G12" s="14"/>
      <c r="H12" s="14">
        <f>IF(C12="X",1)+IF(D12="X",2)+IF(E12="X",3)+IF(F12="X",4)+IF(G12="X",5)</f>
        <v>4</v>
      </c>
    </row>
    <row r="13" spans="1:8" ht="25.5" customHeight="1" x14ac:dyDescent="0.3">
      <c r="A13" s="9" t="s">
        <v>25</v>
      </c>
      <c r="B13" s="10" t="s">
        <v>26</v>
      </c>
      <c r="C13" s="8"/>
      <c r="D13" s="8"/>
      <c r="E13" s="8"/>
      <c r="F13" s="13" t="s">
        <v>88</v>
      </c>
      <c r="G13" s="8"/>
      <c r="H13" s="8">
        <f>IF(C13="X",1)+IF(D13="X",2)+IF(E13="X",3)+IF(F13="X",4)+IF(G13="X",5)</f>
        <v>4</v>
      </c>
    </row>
    <row r="14" spans="1:8" ht="25.5" customHeight="1" x14ac:dyDescent="0.3">
      <c r="A14" s="6" t="s">
        <v>27</v>
      </c>
      <c r="B14" s="7" t="s">
        <v>28</v>
      </c>
      <c r="C14" s="14"/>
      <c r="D14" s="14"/>
      <c r="E14" s="14"/>
      <c r="F14" s="14"/>
      <c r="G14" s="13" t="s">
        <v>88</v>
      </c>
      <c r="H14" s="14">
        <f>IF(C14="X",1)+IF(D14="X",2)+IF(E14="X",3)+IF(F14="X",4)+IF(G14="X",5)</f>
        <v>5</v>
      </c>
    </row>
    <row r="15" spans="1:8" ht="25.5" customHeight="1" x14ac:dyDescent="0.3">
      <c r="A15" s="9" t="s">
        <v>29</v>
      </c>
      <c r="B15" s="10" t="s">
        <v>30</v>
      </c>
      <c r="C15" s="8"/>
      <c r="D15" s="8"/>
      <c r="E15" s="8"/>
      <c r="F15" s="13" t="s">
        <v>88</v>
      </c>
      <c r="G15" s="8"/>
      <c r="H15" s="8">
        <f>IF(C15="X",1)+IF(D15="X",2)+IF(E15="X",3)+IF(F15="X",4)+IF(G15="X",5)</f>
        <v>4</v>
      </c>
    </row>
    <row r="16" spans="1:8" ht="25.5" customHeight="1" x14ac:dyDescent="0.3">
      <c r="A16" s="6" t="s">
        <v>31</v>
      </c>
      <c r="B16" s="7" t="s">
        <v>32</v>
      </c>
      <c r="C16" s="14"/>
      <c r="D16" s="14"/>
      <c r="E16" s="14"/>
      <c r="F16" s="14"/>
      <c r="G16" s="13" t="s">
        <v>88</v>
      </c>
      <c r="H16" s="14">
        <f>IF(C16="X",1)+IF(D16="X",2)+IF(E16="X",3)+IF(F16="X",4)+IF(G16="X",5)</f>
        <v>5</v>
      </c>
    </row>
    <row r="17" spans="1:8" ht="24" customHeight="1" x14ac:dyDescent="0.3">
      <c r="A17" s="15"/>
      <c r="B17" s="16" t="s">
        <v>33</v>
      </c>
      <c r="C17" s="15"/>
      <c r="D17" s="15"/>
      <c r="E17" s="15"/>
      <c r="F17" s="15"/>
      <c r="G17" s="15"/>
      <c r="H17" s="17">
        <f>AVERAGE(H12:H16)</f>
        <v>4.4000000000000004</v>
      </c>
    </row>
    <row r="19" spans="1:8" ht="27.75" customHeight="1" x14ac:dyDescent="0.3">
      <c r="A19" s="5" t="s">
        <v>34</v>
      </c>
      <c r="B19" s="5"/>
      <c r="C19" s="5"/>
      <c r="D19" s="5"/>
      <c r="E19" s="5"/>
      <c r="F19" s="5"/>
      <c r="G19" s="5"/>
      <c r="H19" s="5"/>
    </row>
    <row r="20" spans="1:8" ht="33.75" customHeight="1" x14ac:dyDescent="0.3">
      <c r="A20" s="12" t="s">
        <v>20</v>
      </c>
      <c r="B20" s="12" t="s">
        <v>21</v>
      </c>
      <c r="C20" s="12" t="s">
        <v>131</v>
      </c>
      <c r="D20" s="12" t="s">
        <v>132</v>
      </c>
      <c r="E20" s="12" t="s">
        <v>133</v>
      </c>
      <c r="F20" s="12" t="s">
        <v>134</v>
      </c>
      <c r="G20" s="12" t="s">
        <v>135</v>
      </c>
      <c r="H20" s="12" t="s">
        <v>22</v>
      </c>
    </row>
    <row r="21" spans="1:8" ht="25.5" customHeight="1" x14ac:dyDescent="0.3">
      <c r="A21" s="9" t="s">
        <v>35</v>
      </c>
      <c r="B21" s="10" t="s">
        <v>36</v>
      </c>
      <c r="C21" s="8"/>
      <c r="D21" s="8"/>
      <c r="E21" s="8"/>
      <c r="F21" s="8"/>
      <c r="G21" s="13" t="s">
        <v>88</v>
      </c>
      <c r="H21" s="8">
        <f>IF(C21="X",1)+IF(D21="X",2)+IF(E21="X",3)+IF(F21="X",4)+IF(G21="X",5)</f>
        <v>5</v>
      </c>
    </row>
    <row r="22" spans="1:8" ht="25.5" customHeight="1" x14ac:dyDescent="0.3">
      <c r="A22" s="6" t="s">
        <v>37</v>
      </c>
      <c r="B22" s="7" t="s">
        <v>38</v>
      </c>
      <c r="C22" s="14"/>
      <c r="D22" s="14"/>
      <c r="E22" s="14"/>
      <c r="F22" s="13" t="s">
        <v>88</v>
      </c>
      <c r="G22" s="14"/>
      <c r="H22" s="14">
        <f>IF(C22="X",1)+IF(D22="X",2)+IF(E22="X",3)+IF(F22="X",4)+IF(G22="X",5)</f>
        <v>4</v>
      </c>
    </row>
    <row r="23" spans="1:8" ht="25.5" customHeight="1" x14ac:dyDescent="0.3">
      <c r="A23" s="9" t="s">
        <v>39</v>
      </c>
      <c r="B23" s="10" t="s">
        <v>40</v>
      </c>
      <c r="C23" s="8"/>
      <c r="D23" s="8" t="s">
        <v>88</v>
      </c>
      <c r="E23" s="8"/>
      <c r="F23" s="8"/>
      <c r="G23" s="13"/>
      <c r="H23" s="8">
        <f>IF(C23="X",1)+IF(D23="X",2)+IF(E23="X",3)+IF(F23="X",4)+IF(G23="X",5)</f>
        <v>2</v>
      </c>
    </row>
    <row r="24" spans="1:8" ht="25.5" customHeight="1" x14ac:dyDescent="0.3">
      <c r="A24" s="6" t="s">
        <v>41</v>
      </c>
      <c r="B24" s="7" t="s">
        <v>42</v>
      </c>
      <c r="C24" s="14"/>
      <c r="D24" s="14"/>
      <c r="E24" s="14"/>
      <c r="F24" s="14"/>
      <c r="G24" s="13" t="s">
        <v>88</v>
      </c>
      <c r="H24" s="14">
        <f>IF(C24="X",1)+IF(D24="X",2)+IF(E24="X",3)+IF(F24="X",4)+IF(G24="X",5)</f>
        <v>5</v>
      </c>
    </row>
    <row r="25" spans="1:8" ht="24" customHeight="1" x14ac:dyDescent="0.3">
      <c r="A25" s="15"/>
      <c r="B25" s="16" t="s">
        <v>43</v>
      </c>
      <c r="C25" s="15"/>
      <c r="D25" s="15"/>
      <c r="E25" s="15"/>
      <c r="F25" s="15"/>
      <c r="G25" s="15"/>
      <c r="H25" s="17">
        <f>AVERAGE(H21:H24)</f>
        <v>4</v>
      </c>
    </row>
    <row r="27" spans="1:8" ht="27.75" customHeight="1" x14ac:dyDescent="0.3">
      <c r="A27" s="5" t="s">
        <v>44</v>
      </c>
      <c r="B27" s="5"/>
      <c r="C27" s="5"/>
      <c r="D27" s="5"/>
      <c r="E27" s="5"/>
      <c r="F27" s="5"/>
      <c r="G27" s="5"/>
      <c r="H27" s="5"/>
    </row>
    <row r="28" spans="1:8" ht="33.75" customHeight="1" x14ac:dyDescent="0.3">
      <c r="A28" s="12" t="s">
        <v>20</v>
      </c>
      <c r="B28" s="12" t="s">
        <v>21</v>
      </c>
      <c r="C28" s="12" t="s">
        <v>131</v>
      </c>
      <c r="D28" s="12" t="s">
        <v>132</v>
      </c>
      <c r="E28" s="12" t="s">
        <v>133</v>
      </c>
      <c r="F28" s="12" t="s">
        <v>134</v>
      </c>
      <c r="G28" s="12" t="s">
        <v>135</v>
      </c>
      <c r="H28" s="12" t="s">
        <v>22</v>
      </c>
    </row>
    <row r="29" spans="1:8" ht="25.5" customHeight="1" x14ac:dyDescent="0.3">
      <c r="A29" s="9" t="s">
        <v>45</v>
      </c>
      <c r="B29" s="10" t="s">
        <v>46</v>
      </c>
      <c r="C29" s="8"/>
      <c r="D29" s="8"/>
      <c r="E29" s="8"/>
      <c r="F29" s="13" t="s">
        <v>88</v>
      </c>
      <c r="G29" s="8"/>
      <c r="H29" s="8">
        <f>IF(C29="X",1)+IF(D29="X",2)+IF(E29="X",3)+IF(F29="X",4)+IF(G29="X",5)</f>
        <v>4</v>
      </c>
    </row>
    <row r="30" spans="1:8" ht="25.5" customHeight="1" x14ac:dyDescent="0.3">
      <c r="A30" s="6" t="s">
        <v>47</v>
      </c>
      <c r="B30" s="7" t="s">
        <v>48</v>
      </c>
      <c r="C30" s="14"/>
      <c r="D30" s="14"/>
      <c r="E30" s="14"/>
      <c r="F30" s="14"/>
      <c r="G30" s="13" t="s">
        <v>88</v>
      </c>
      <c r="H30" s="14">
        <f>IF(C30="X",1)+IF(D30="X",2)+IF(E30="X",3)+IF(F30="X",4)+IF(G30="X",5)</f>
        <v>5</v>
      </c>
    </row>
    <row r="31" spans="1:8" ht="25.5" customHeight="1" x14ac:dyDescent="0.3">
      <c r="A31" s="9" t="s">
        <v>49</v>
      </c>
      <c r="B31" s="10" t="s">
        <v>50</v>
      </c>
      <c r="C31" s="8"/>
      <c r="D31" s="8"/>
      <c r="E31" s="8"/>
      <c r="F31" s="8"/>
      <c r="G31" s="13" t="s">
        <v>88</v>
      </c>
      <c r="H31" s="8">
        <f>IF(C31="X",1)+IF(D31="X",2)+IF(E31="X",3)+IF(F31="X",4)+IF(G31="X",5)</f>
        <v>5</v>
      </c>
    </row>
    <row r="32" spans="1:8" ht="25.5" customHeight="1" x14ac:dyDescent="0.3">
      <c r="A32" s="6" t="s">
        <v>51</v>
      </c>
      <c r="B32" s="7" t="s">
        <v>52</v>
      </c>
      <c r="C32" s="14"/>
      <c r="D32" s="14"/>
      <c r="E32" s="14"/>
      <c r="F32" s="13" t="s">
        <v>88</v>
      </c>
      <c r="G32" s="14"/>
      <c r="H32" s="14">
        <f>IF(C32="X",1)+IF(D32="X",2)+IF(E32="X",3)+IF(F32="X",4)+IF(G32="X",5)</f>
        <v>4</v>
      </c>
    </row>
    <row r="33" spans="1:8" ht="24" customHeight="1" x14ac:dyDescent="0.3">
      <c r="A33" s="15"/>
      <c r="B33" s="16" t="s">
        <v>53</v>
      </c>
      <c r="C33" s="15"/>
      <c r="D33" s="15"/>
      <c r="E33" s="15"/>
      <c r="F33" s="15"/>
      <c r="G33" s="15"/>
      <c r="H33" s="17">
        <f>AVERAGE(H29:H32)</f>
        <v>4.5</v>
      </c>
    </row>
    <row r="35" spans="1:8" ht="27.75" customHeight="1" x14ac:dyDescent="0.3">
      <c r="A35" s="5" t="s">
        <v>54</v>
      </c>
      <c r="B35" s="5"/>
      <c r="C35" s="5"/>
      <c r="D35" s="5"/>
      <c r="E35" s="5"/>
      <c r="F35" s="5"/>
      <c r="G35" s="5"/>
      <c r="H35" s="5"/>
    </row>
    <row r="36" spans="1:8" ht="33.75" customHeight="1" x14ac:dyDescent="0.3">
      <c r="A36" s="12" t="s">
        <v>20</v>
      </c>
      <c r="B36" s="12" t="s">
        <v>21</v>
      </c>
      <c r="C36" s="12" t="s">
        <v>131</v>
      </c>
      <c r="D36" s="12" t="s">
        <v>132</v>
      </c>
      <c r="E36" s="12" t="s">
        <v>133</v>
      </c>
      <c r="F36" s="12" t="s">
        <v>134</v>
      </c>
      <c r="G36" s="12" t="s">
        <v>135</v>
      </c>
      <c r="H36" s="12" t="s">
        <v>22</v>
      </c>
    </row>
    <row r="37" spans="1:8" ht="25.5" customHeight="1" x14ac:dyDescent="0.3">
      <c r="A37" s="9" t="s">
        <v>55</v>
      </c>
      <c r="B37" s="10" t="s">
        <v>56</v>
      </c>
      <c r="C37" s="8"/>
      <c r="D37" s="8"/>
      <c r="E37" s="8"/>
      <c r="F37" s="8"/>
      <c r="G37" s="13" t="s">
        <v>88</v>
      </c>
      <c r="H37" s="8">
        <f>IF(C37="X",1)+IF(D37="X",2)+IF(E37="X",3)+IF(F37="X",4)+IF(G37="X",5)</f>
        <v>5</v>
      </c>
    </row>
    <row r="38" spans="1:8" ht="25.5" customHeight="1" x14ac:dyDescent="0.3">
      <c r="A38" s="6" t="s">
        <v>57</v>
      </c>
      <c r="B38" s="7" t="s">
        <v>58</v>
      </c>
      <c r="C38" s="14"/>
      <c r="D38" s="14"/>
      <c r="E38" s="14" t="s">
        <v>88</v>
      </c>
      <c r="F38" s="14"/>
      <c r="G38" s="13"/>
      <c r="H38" s="14">
        <f>IF(C38="X",1)+IF(D38="X",2)+IF(E38="X",3)+IF(F38="X",4)+IF(G38="X",5)</f>
        <v>3</v>
      </c>
    </row>
    <row r="39" spans="1:8" ht="25.5" customHeight="1" x14ac:dyDescent="0.3">
      <c r="A39" s="9" t="s">
        <v>59</v>
      </c>
      <c r="B39" s="10" t="s">
        <v>60</v>
      </c>
      <c r="C39" s="8"/>
      <c r="D39" s="8"/>
      <c r="E39" s="8"/>
      <c r="F39" s="13" t="s">
        <v>88</v>
      </c>
      <c r="G39" s="8"/>
      <c r="H39" s="8">
        <f>IF(C39="X",1)+IF(D39="X",2)+IF(E39="X",3)+IF(F39="X",4)+IF(G39="X",5)</f>
        <v>4</v>
      </c>
    </row>
    <row r="40" spans="1:8" ht="25.5" customHeight="1" x14ac:dyDescent="0.3">
      <c r="A40" s="6" t="s">
        <v>61</v>
      </c>
      <c r="B40" s="7" t="s">
        <v>62</v>
      </c>
      <c r="C40" s="14"/>
      <c r="D40" s="14"/>
      <c r="E40" s="14" t="s">
        <v>88</v>
      </c>
      <c r="F40" s="14"/>
      <c r="G40" s="13"/>
      <c r="H40" s="14">
        <f>IF(C40="X",1)+IF(D40="X",2)+IF(E40="X",3)+IF(F40="X",4)+IF(G40="X",5)</f>
        <v>3</v>
      </c>
    </row>
    <row r="41" spans="1:8" ht="24" customHeight="1" x14ac:dyDescent="0.3">
      <c r="A41" s="15"/>
      <c r="B41" s="16" t="s">
        <v>63</v>
      </c>
      <c r="C41" s="15"/>
      <c r="D41" s="15"/>
      <c r="E41" s="15"/>
      <c r="F41" s="15"/>
      <c r="G41" s="15"/>
      <c r="H41" s="17">
        <f>AVERAGE(H37:H40)</f>
        <v>3.75</v>
      </c>
    </row>
    <row r="43" spans="1:8" ht="27.75" customHeight="1" x14ac:dyDescent="0.3">
      <c r="A43" s="5" t="s">
        <v>64</v>
      </c>
      <c r="B43" s="5"/>
      <c r="C43" s="5"/>
      <c r="D43" s="5"/>
      <c r="E43" s="5"/>
      <c r="F43" s="5"/>
      <c r="G43" s="5"/>
      <c r="H43" s="5"/>
    </row>
    <row r="44" spans="1:8" ht="30" customHeight="1" x14ac:dyDescent="0.3">
      <c r="A44" s="6" t="s">
        <v>65</v>
      </c>
      <c r="B44" s="7" t="s">
        <v>66</v>
      </c>
      <c r="C44" s="19" t="s">
        <v>89</v>
      </c>
      <c r="D44" s="19"/>
      <c r="E44" s="19"/>
      <c r="F44" s="19"/>
      <c r="G44" s="19"/>
      <c r="H44" s="19"/>
    </row>
    <row r="45" spans="1:8" ht="30" customHeight="1" x14ac:dyDescent="0.3">
      <c r="A45" s="9" t="s">
        <v>67</v>
      </c>
      <c r="B45" s="10" t="s">
        <v>68</v>
      </c>
      <c r="C45" s="18" t="s">
        <v>108</v>
      </c>
      <c r="D45" s="18"/>
      <c r="E45" s="18"/>
      <c r="F45" s="18"/>
      <c r="G45" s="18"/>
      <c r="H45" s="18"/>
    </row>
    <row r="46" spans="1:8" ht="30" customHeight="1" x14ac:dyDescent="0.3">
      <c r="A46" s="6" t="s">
        <v>69</v>
      </c>
      <c r="B46" s="7" t="s">
        <v>70</v>
      </c>
      <c r="C46" s="19" t="s">
        <v>106</v>
      </c>
      <c r="D46" s="19"/>
      <c r="E46" s="19"/>
      <c r="F46" s="19"/>
      <c r="G46" s="19"/>
      <c r="H46" s="19"/>
    </row>
    <row r="47" spans="1:8" ht="30" customHeight="1" x14ac:dyDescent="0.3">
      <c r="A47" s="9" t="s">
        <v>71</v>
      </c>
      <c r="B47" s="10" t="s">
        <v>72</v>
      </c>
      <c r="C47" s="18" t="s">
        <v>100</v>
      </c>
      <c r="D47" s="18"/>
      <c r="E47" s="18"/>
      <c r="F47" s="18"/>
      <c r="G47" s="18"/>
      <c r="H47" s="18"/>
    </row>
    <row r="48" spans="1:8" ht="30" customHeight="1" x14ac:dyDescent="0.3">
      <c r="A48" s="6" t="s">
        <v>73</v>
      </c>
      <c r="B48" s="7" t="s">
        <v>74</v>
      </c>
      <c r="C48" s="19" t="s">
        <v>92</v>
      </c>
      <c r="D48" s="19"/>
      <c r="E48" s="19"/>
      <c r="F48" s="19"/>
      <c r="G48" s="19"/>
      <c r="H48" s="19"/>
    </row>
    <row r="49" spans="1:8" ht="30" customHeight="1" x14ac:dyDescent="0.3">
      <c r="A49" s="9" t="s">
        <v>75</v>
      </c>
      <c r="B49" s="10" t="s">
        <v>76</v>
      </c>
      <c r="C49" s="18" t="s">
        <v>154</v>
      </c>
      <c r="D49" s="18"/>
      <c r="E49" s="18"/>
      <c r="F49" s="18"/>
      <c r="G49" s="18"/>
      <c r="H49" s="18"/>
    </row>
    <row r="51" spans="1:8" ht="27.75" customHeight="1" x14ac:dyDescent="0.3">
      <c r="A51" s="5" t="s">
        <v>77</v>
      </c>
      <c r="B51" s="5"/>
      <c r="C51" s="5"/>
      <c r="D51" s="5"/>
      <c r="E51" s="5"/>
      <c r="F51" s="5"/>
      <c r="G51" s="5"/>
      <c r="H51" s="5"/>
    </row>
    <row r="52" spans="1:8" ht="31.5" customHeight="1" x14ac:dyDescent="0.3">
      <c r="A52" s="6" t="s">
        <v>78</v>
      </c>
      <c r="B52" s="7" t="s">
        <v>79</v>
      </c>
      <c r="C52" s="19" t="s">
        <v>98</v>
      </c>
      <c r="D52" s="19"/>
      <c r="E52" s="19"/>
      <c r="F52" s="19"/>
      <c r="G52" s="19"/>
      <c r="H52" s="19"/>
    </row>
    <row r="53" spans="1:8" ht="31.5" customHeight="1" x14ac:dyDescent="0.3">
      <c r="A53" s="9" t="s">
        <v>80</v>
      </c>
      <c r="B53" s="10" t="s">
        <v>81</v>
      </c>
      <c r="C53" s="18" t="s">
        <v>95</v>
      </c>
      <c r="D53" s="18"/>
      <c r="E53" s="18"/>
      <c r="F53" s="18"/>
      <c r="G53" s="18"/>
      <c r="H53" s="18"/>
    </row>
    <row r="54" spans="1:8" ht="31.5" customHeight="1" x14ac:dyDescent="0.3">
      <c r="A54" s="6" t="s">
        <v>82</v>
      </c>
      <c r="B54" s="7" t="s">
        <v>83</v>
      </c>
      <c r="C54" s="19" t="s">
        <v>109</v>
      </c>
      <c r="D54" s="19"/>
      <c r="E54" s="19"/>
      <c r="F54" s="19"/>
      <c r="G54" s="19"/>
      <c r="H54" s="19"/>
    </row>
    <row r="55" spans="1:8" ht="31.5" customHeight="1" x14ac:dyDescent="0.3">
      <c r="A55" s="9" t="s">
        <v>84</v>
      </c>
      <c r="B55" s="10" t="s">
        <v>85</v>
      </c>
      <c r="C55" s="18" t="s">
        <v>155</v>
      </c>
      <c r="D55" s="18"/>
      <c r="E55" s="18"/>
      <c r="F55" s="18"/>
      <c r="G55" s="18"/>
      <c r="H55" s="18"/>
    </row>
    <row r="56" spans="1:8" ht="31.5" customHeight="1" x14ac:dyDescent="0.3">
      <c r="A56" s="6" t="s">
        <v>86</v>
      </c>
      <c r="B56" s="7" t="s">
        <v>87</v>
      </c>
      <c r="C56" s="19" t="s">
        <v>110</v>
      </c>
      <c r="D56" s="19"/>
      <c r="E56" s="19"/>
      <c r="F56" s="19"/>
      <c r="G56" s="19"/>
      <c r="H56" s="19"/>
    </row>
  </sheetData>
  <mergeCells count="19">
    <mergeCell ref="C53:H53"/>
    <mergeCell ref="C54:H54"/>
    <mergeCell ref="C55:H55"/>
    <mergeCell ref="C56:H56"/>
    <mergeCell ref="C47:H47"/>
    <mergeCell ref="C48:H48"/>
    <mergeCell ref="C49:H49"/>
    <mergeCell ref="A51:H51"/>
    <mergeCell ref="C52:H52"/>
    <mergeCell ref="A35:H35"/>
    <mergeCell ref="A43:H43"/>
    <mergeCell ref="C44:H44"/>
    <mergeCell ref="C45:H45"/>
    <mergeCell ref="C46:H46"/>
    <mergeCell ref="A1:H1"/>
    <mergeCell ref="A3:H3"/>
    <mergeCell ref="A10:H10"/>
    <mergeCell ref="A19:H19"/>
    <mergeCell ref="A27:H2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6"/>
  <sheetViews>
    <sheetView showGridLines="0" zoomScaleNormal="100" workbookViewId="0">
      <pane ySplit="2" topLeftCell="A32" activePane="bottomLeft" state="frozen"/>
      <selection pane="bottomLeft" sqref="A1:H1"/>
    </sheetView>
  </sheetViews>
  <sheetFormatPr defaultColWidth="8.6640625" defaultRowHeight="14.4" x14ac:dyDescent="0.3"/>
  <cols>
    <col min="1" max="1" width="10" style="4" customWidth="1"/>
    <col min="2" max="2" width="62" style="4" customWidth="1"/>
    <col min="3" max="7" width="15" style="4" customWidth="1"/>
    <col min="8" max="8" width="10" style="4" customWidth="1"/>
    <col min="9" max="16384" width="8.6640625" style="4"/>
  </cols>
  <sheetData>
    <row r="1" spans="1:8" ht="31.5" customHeight="1" x14ac:dyDescent="0.3">
      <c r="A1" s="21" t="s">
        <v>188</v>
      </c>
      <c r="B1" s="21"/>
      <c r="C1" s="21"/>
      <c r="D1" s="21"/>
      <c r="E1" s="21"/>
      <c r="F1" s="21"/>
      <c r="G1" s="21"/>
      <c r="H1" s="21"/>
    </row>
    <row r="3" spans="1:8" ht="27.75" customHeight="1" x14ac:dyDescent="0.3">
      <c r="A3" s="5" t="s">
        <v>0</v>
      </c>
      <c r="B3" s="5"/>
      <c r="C3" s="5"/>
      <c r="D3" s="5"/>
      <c r="E3" s="5"/>
      <c r="F3" s="5"/>
      <c r="G3" s="5"/>
      <c r="H3" s="5"/>
    </row>
    <row r="4" spans="1:8" ht="24" customHeight="1" x14ac:dyDescent="0.3">
      <c r="A4" s="6" t="s">
        <v>1</v>
      </c>
      <c r="B4" s="7" t="s">
        <v>2</v>
      </c>
      <c r="C4" s="8" t="s">
        <v>3</v>
      </c>
      <c r="D4" s="8" t="s">
        <v>4</v>
      </c>
      <c r="E4" s="3" t="s">
        <v>5</v>
      </c>
      <c r="F4" s="8" t="s">
        <v>6</v>
      </c>
    </row>
    <row r="5" spans="1:8" ht="24" customHeight="1" x14ac:dyDescent="0.3">
      <c r="A5" s="9" t="s">
        <v>7</v>
      </c>
      <c r="B5" s="10" t="s">
        <v>8</v>
      </c>
      <c r="C5" s="3" t="s">
        <v>9</v>
      </c>
      <c r="D5" s="8" t="s">
        <v>10</v>
      </c>
      <c r="E5" s="8" t="s">
        <v>11</v>
      </c>
      <c r="F5" s="8" t="s">
        <v>12</v>
      </c>
    </row>
    <row r="6" spans="1:8" ht="24" customHeight="1" x14ac:dyDescent="0.3">
      <c r="A6" s="6" t="s">
        <v>13</v>
      </c>
      <c r="B6" s="7" t="s">
        <v>14</v>
      </c>
      <c r="C6" s="13" t="s">
        <v>9</v>
      </c>
      <c r="D6" s="8" t="s">
        <v>10</v>
      </c>
      <c r="E6" s="9" t="s">
        <v>11</v>
      </c>
      <c r="F6" s="8" t="s">
        <v>12</v>
      </c>
    </row>
    <row r="7" spans="1:8" ht="24" customHeight="1" x14ac:dyDescent="0.3">
      <c r="A7" s="9" t="s">
        <v>15</v>
      </c>
      <c r="B7" s="10" t="s">
        <v>16</v>
      </c>
      <c r="C7" s="3" t="s">
        <v>149</v>
      </c>
      <c r="D7" s="8" t="s">
        <v>18</v>
      </c>
      <c r="E7" s="11"/>
      <c r="F7" s="11"/>
    </row>
    <row r="8" spans="1:8" x14ac:dyDescent="0.3">
      <c r="B8" s="39" t="s">
        <v>111</v>
      </c>
    </row>
    <row r="10" spans="1:8" ht="27.75" customHeight="1" x14ac:dyDescent="0.3">
      <c r="A10" s="5" t="s">
        <v>19</v>
      </c>
      <c r="B10" s="5"/>
      <c r="C10" s="5"/>
      <c r="D10" s="5"/>
      <c r="E10" s="5"/>
      <c r="F10" s="5"/>
      <c r="G10" s="5"/>
      <c r="H10" s="5"/>
    </row>
    <row r="11" spans="1:8" ht="33.75" customHeight="1" x14ac:dyDescent="0.3">
      <c r="A11" s="12" t="s">
        <v>20</v>
      </c>
      <c r="B11" s="12" t="s">
        <v>21</v>
      </c>
      <c r="C11" s="12" t="s">
        <v>131</v>
      </c>
      <c r="D11" s="12" t="s">
        <v>132</v>
      </c>
      <c r="E11" s="12" t="s">
        <v>133</v>
      </c>
      <c r="F11" s="12" t="s">
        <v>134</v>
      </c>
      <c r="G11" s="12" t="s">
        <v>135</v>
      </c>
      <c r="H11" s="12" t="s">
        <v>22</v>
      </c>
    </row>
    <row r="12" spans="1:8" ht="25.5" customHeight="1" x14ac:dyDescent="0.3">
      <c r="A12" s="6" t="s">
        <v>23</v>
      </c>
      <c r="B12" s="7" t="s">
        <v>24</v>
      </c>
      <c r="C12" s="14"/>
      <c r="D12" s="14"/>
      <c r="E12" s="14"/>
      <c r="F12" s="14"/>
      <c r="G12" s="13" t="s">
        <v>88</v>
      </c>
      <c r="H12" s="14">
        <f>IF(C12="X",1)+IF(D12="X",2)+IF(E12="X",3)+IF(F12="X",4)+IF(G12="X",5)</f>
        <v>5</v>
      </c>
    </row>
    <row r="13" spans="1:8" ht="25.5" customHeight="1" x14ac:dyDescent="0.3">
      <c r="A13" s="9" t="s">
        <v>25</v>
      </c>
      <c r="B13" s="10" t="s">
        <v>26</v>
      </c>
      <c r="C13" s="8"/>
      <c r="D13" s="8"/>
      <c r="E13" s="8"/>
      <c r="F13" s="13" t="s">
        <v>88</v>
      </c>
      <c r="G13" s="8"/>
      <c r="H13" s="8">
        <f>IF(C13="X",1)+IF(D13="X",2)+IF(E13="X",3)+IF(F13="X",4)+IF(G13="X",5)</f>
        <v>4</v>
      </c>
    </row>
    <row r="14" spans="1:8" ht="25.5" customHeight="1" x14ac:dyDescent="0.3">
      <c r="A14" s="6" t="s">
        <v>27</v>
      </c>
      <c r="B14" s="7" t="s">
        <v>28</v>
      </c>
      <c r="C14" s="14"/>
      <c r="D14" s="14"/>
      <c r="E14" s="14"/>
      <c r="F14" s="14"/>
      <c r="G14" s="13" t="s">
        <v>88</v>
      </c>
      <c r="H14" s="14">
        <f>IF(C14="X",1)+IF(D14="X",2)+IF(E14="X",3)+IF(F14="X",4)+IF(G14="X",5)</f>
        <v>5</v>
      </c>
    </row>
    <row r="15" spans="1:8" ht="25.5" customHeight="1" x14ac:dyDescent="0.3">
      <c r="A15" s="9" t="s">
        <v>29</v>
      </c>
      <c r="B15" s="10" t="s">
        <v>30</v>
      </c>
      <c r="C15" s="8"/>
      <c r="D15" s="8"/>
      <c r="E15" s="8" t="s">
        <v>88</v>
      </c>
      <c r="F15" s="8"/>
      <c r="G15" s="13"/>
      <c r="H15" s="8">
        <f>IF(C15="X",1)+IF(D15="X",2)+IF(E15="X",3)+IF(F15="X",4)+IF(G15="X",5)</f>
        <v>3</v>
      </c>
    </row>
    <row r="16" spans="1:8" ht="25.5" customHeight="1" x14ac:dyDescent="0.3">
      <c r="A16" s="6" t="s">
        <v>31</v>
      </c>
      <c r="B16" s="7" t="s">
        <v>32</v>
      </c>
      <c r="C16" s="14"/>
      <c r="D16" s="14"/>
      <c r="E16" s="14"/>
      <c r="F16" s="13" t="s">
        <v>88</v>
      </c>
      <c r="G16" s="14"/>
      <c r="H16" s="14">
        <f>IF(C16="X",1)+IF(D16="X",2)+IF(E16="X",3)+IF(F16="X",4)+IF(G16="X",5)</f>
        <v>4</v>
      </c>
    </row>
    <row r="17" spans="1:8" ht="24" customHeight="1" x14ac:dyDescent="0.3">
      <c r="A17" s="15"/>
      <c r="B17" s="16" t="s">
        <v>33</v>
      </c>
      <c r="C17" s="15"/>
      <c r="D17" s="15"/>
      <c r="E17" s="15"/>
      <c r="F17" s="15"/>
      <c r="G17" s="15"/>
      <c r="H17" s="17">
        <f>AVERAGE(H12:H16)</f>
        <v>4.2</v>
      </c>
    </row>
    <row r="19" spans="1:8" ht="27.75" customHeight="1" x14ac:dyDescent="0.3">
      <c r="A19" s="5" t="s">
        <v>34</v>
      </c>
      <c r="B19" s="5"/>
      <c r="C19" s="5"/>
      <c r="D19" s="5"/>
      <c r="E19" s="5"/>
      <c r="F19" s="5"/>
      <c r="G19" s="5"/>
      <c r="H19" s="5"/>
    </row>
    <row r="20" spans="1:8" ht="33.75" customHeight="1" x14ac:dyDescent="0.3">
      <c r="A20" s="12" t="s">
        <v>20</v>
      </c>
      <c r="B20" s="12" t="s">
        <v>21</v>
      </c>
      <c r="C20" s="12" t="s">
        <v>131</v>
      </c>
      <c r="D20" s="12" t="s">
        <v>132</v>
      </c>
      <c r="E20" s="12" t="s">
        <v>133</v>
      </c>
      <c r="F20" s="12" t="s">
        <v>134</v>
      </c>
      <c r="G20" s="12" t="s">
        <v>135</v>
      </c>
      <c r="H20" s="12" t="s">
        <v>22</v>
      </c>
    </row>
    <row r="21" spans="1:8" ht="25.5" customHeight="1" x14ac:dyDescent="0.3">
      <c r="A21" s="9" t="s">
        <v>35</v>
      </c>
      <c r="B21" s="10" t="s">
        <v>36</v>
      </c>
      <c r="C21" s="8"/>
      <c r="D21" s="8"/>
      <c r="E21" s="8"/>
      <c r="F21" s="8"/>
      <c r="G21" s="13" t="s">
        <v>88</v>
      </c>
      <c r="H21" s="8">
        <f>IF(C21="X",1)+IF(D21="X",2)+IF(E21="X",3)+IF(F21="X",4)+IF(G21="X",5)</f>
        <v>5</v>
      </c>
    </row>
    <row r="22" spans="1:8" ht="25.5" customHeight="1" x14ac:dyDescent="0.3">
      <c r="A22" s="6" t="s">
        <v>37</v>
      </c>
      <c r="B22" s="7" t="s">
        <v>38</v>
      </c>
      <c r="C22" s="14"/>
      <c r="D22" s="14"/>
      <c r="E22" s="14"/>
      <c r="F22" s="14"/>
      <c r="G22" s="13" t="s">
        <v>88</v>
      </c>
      <c r="H22" s="14">
        <f>IF(C22="X",1)+IF(D22="X",2)+IF(E22="X",3)+IF(F22="X",4)+IF(G22="X",5)</f>
        <v>5</v>
      </c>
    </row>
    <row r="23" spans="1:8" ht="25.5" customHeight="1" x14ac:dyDescent="0.3">
      <c r="A23" s="9" t="s">
        <v>39</v>
      </c>
      <c r="B23" s="10" t="s">
        <v>40</v>
      </c>
      <c r="C23" s="8"/>
      <c r="D23" s="8" t="s">
        <v>88</v>
      </c>
      <c r="E23" s="8"/>
      <c r="F23" s="8"/>
      <c r="G23" s="13"/>
      <c r="H23" s="8">
        <f>IF(C23="X",1)+IF(D23="X",2)+IF(E23="X",3)+IF(F23="X",4)+IF(G23="X",5)</f>
        <v>2</v>
      </c>
    </row>
    <row r="24" spans="1:8" ht="25.5" customHeight="1" x14ac:dyDescent="0.3">
      <c r="A24" s="6" t="s">
        <v>41</v>
      </c>
      <c r="B24" s="7" t="s">
        <v>42</v>
      </c>
      <c r="C24" s="14"/>
      <c r="D24" s="14"/>
      <c r="E24" s="14"/>
      <c r="F24" s="14"/>
      <c r="G24" s="13" t="s">
        <v>88</v>
      </c>
      <c r="H24" s="14">
        <f>IF(C24="X",1)+IF(D24="X",2)+IF(E24="X",3)+IF(F24="X",4)+IF(G24="X",5)</f>
        <v>5</v>
      </c>
    </row>
    <row r="25" spans="1:8" ht="24" customHeight="1" x14ac:dyDescent="0.3">
      <c r="A25" s="15"/>
      <c r="B25" s="16" t="s">
        <v>43</v>
      </c>
      <c r="C25" s="15"/>
      <c r="D25" s="15"/>
      <c r="E25" s="15"/>
      <c r="F25" s="15"/>
      <c r="G25" s="15"/>
      <c r="H25" s="17">
        <f>AVERAGE(H21:H24)</f>
        <v>4.25</v>
      </c>
    </row>
    <row r="27" spans="1:8" ht="27.75" customHeight="1" x14ac:dyDescent="0.3">
      <c r="A27" s="5" t="s">
        <v>44</v>
      </c>
      <c r="B27" s="5"/>
      <c r="C27" s="5"/>
      <c r="D27" s="5"/>
      <c r="E27" s="5"/>
      <c r="F27" s="5"/>
      <c r="G27" s="5"/>
      <c r="H27" s="5"/>
    </row>
    <row r="28" spans="1:8" ht="33.75" customHeight="1" x14ac:dyDescent="0.3">
      <c r="A28" s="12" t="s">
        <v>20</v>
      </c>
      <c r="B28" s="12" t="s">
        <v>21</v>
      </c>
      <c r="C28" s="12" t="s">
        <v>131</v>
      </c>
      <c r="D28" s="12" t="s">
        <v>132</v>
      </c>
      <c r="E28" s="12" t="s">
        <v>133</v>
      </c>
      <c r="F28" s="12" t="s">
        <v>134</v>
      </c>
      <c r="G28" s="12" t="s">
        <v>135</v>
      </c>
      <c r="H28" s="12" t="s">
        <v>22</v>
      </c>
    </row>
    <row r="29" spans="1:8" ht="25.5" customHeight="1" x14ac:dyDescent="0.3">
      <c r="A29" s="9" t="s">
        <v>45</v>
      </c>
      <c r="B29" s="10" t="s">
        <v>46</v>
      </c>
      <c r="C29" s="8"/>
      <c r="D29" s="8"/>
      <c r="E29" s="8"/>
      <c r="F29" s="13" t="s">
        <v>88</v>
      </c>
      <c r="G29" s="8"/>
      <c r="H29" s="8">
        <f>IF(C29="X",1)+IF(D29="X",2)+IF(E29="X",3)+IF(F29="X",4)+IF(G29="X",5)</f>
        <v>4</v>
      </c>
    </row>
    <row r="30" spans="1:8" ht="25.5" customHeight="1" x14ac:dyDescent="0.3">
      <c r="A30" s="6" t="s">
        <v>47</v>
      </c>
      <c r="B30" s="7" t="s">
        <v>48</v>
      </c>
      <c r="C30" s="14"/>
      <c r="D30" s="14"/>
      <c r="E30" s="14"/>
      <c r="F30" s="14"/>
      <c r="G30" s="13" t="s">
        <v>88</v>
      </c>
      <c r="H30" s="14">
        <f>IF(C30="X",1)+IF(D30="X",2)+IF(E30="X",3)+IF(F30="X",4)+IF(G30="X",5)</f>
        <v>5</v>
      </c>
    </row>
    <row r="31" spans="1:8" ht="25.5" customHeight="1" x14ac:dyDescent="0.3">
      <c r="A31" s="9" t="s">
        <v>49</v>
      </c>
      <c r="B31" s="10" t="s">
        <v>50</v>
      </c>
      <c r="C31" s="8"/>
      <c r="D31" s="8"/>
      <c r="E31" s="8"/>
      <c r="F31" s="13" t="s">
        <v>88</v>
      </c>
      <c r="G31" s="8"/>
      <c r="H31" s="8">
        <f>IF(C31="X",1)+IF(D31="X",2)+IF(E31="X",3)+IF(F31="X",4)+IF(G31="X",5)</f>
        <v>4</v>
      </c>
    </row>
    <row r="32" spans="1:8" ht="25.5" customHeight="1" x14ac:dyDescent="0.3">
      <c r="A32" s="6" t="s">
        <v>51</v>
      </c>
      <c r="B32" s="7" t="s">
        <v>52</v>
      </c>
      <c r="C32" s="14"/>
      <c r="D32" s="14"/>
      <c r="E32" s="14"/>
      <c r="F32" s="14"/>
      <c r="G32" s="13" t="s">
        <v>88</v>
      </c>
      <c r="H32" s="14">
        <f>IF(C32="X",1)+IF(D32="X",2)+IF(E32="X",3)+IF(F32="X",4)+IF(G32="X",5)</f>
        <v>5</v>
      </c>
    </row>
    <row r="33" spans="1:8" ht="24" customHeight="1" x14ac:dyDescent="0.3">
      <c r="A33" s="15"/>
      <c r="B33" s="16" t="s">
        <v>53</v>
      </c>
      <c r="C33" s="15"/>
      <c r="D33" s="15"/>
      <c r="E33" s="15"/>
      <c r="F33" s="15"/>
      <c r="G33" s="15"/>
      <c r="H33" s="17">
        <f>AVERAGE(H29:H32)</f>
        <v>4.5</v>
      </c>
    </row>
    <row r="35" spans="1:8" ht="27.75" customHeight="1" x14ac:dyDescent="0.3">
      <c r="A35" s="5" t="s">
        <v>54</v>
      </c>
      <c r="B35" s="5"/>
      <c r="C35" s="5"/>
      <c r="D35" s="5"/>
      <c r="E35" s="5"/>
      <c r="F35" s="5"/>
      <c r="G35" s="5"/>
      <c r="H35" s="5"/>
    </row>
    <row r="36" spans="1:8" ht="33.75" customHeight="1" x14ac:dyDescent="0.3">
      <c r="A36" s="12" t="s">
        <v>20</v>
      </c>
      <c r="B36" s="12" t="s">
        <v>21</v>
      </c>
      <c r="C36" s="12" t="s">
        <v>131</v>
      </c>
      <c r="D36" s="12" t="s">
        <v>132</v>
      </c>
      <c r="E36" s="12" t="s">
        <v>133</v>
      </c>
      <c r="F36" s="12" t="s">
        <v>134</v>
      </c>
      <c r="G36" s="12" t="s">
        <v>135</v>
      </c>
      <c r="H36" s="12" t="s">
        <v>22</v>
      </c>
    </row>
    <row r="37" spans="1:8" ht="25.5" customHeight="1" x14ac:dyDescent="0.3">
      <c r="A37" s="9" t="s">
        <v>55</v>
      </c>
      <c r="B37" s="10" t="s">
        <v>56</v>
      </c>
      <c r="C37" s="8"/>
      <c r="D37" s="8"/>
      <c r="E37" s="8"/>
      <c r="F37" s="13" t="s">
        <v>88</v>
      </c>
      <c r="G37" s="8"/>
      <c r="H37" s="8">
        <f>IF(C37="X",1)+IF(D37="X",2)+IF(E37="X",3)+IF(F37="X",4)+IF(G37="X",5)</f>
        <v>4</v>
      </c>
    </row>
    <row r="38" spans="1:8" ht="25.5" customHeight="1" x14ac:dyDescent="0.3">
      <c r="A38" s="6" t="s">
        <v>57</v>
      </c>
      <c r="B38" s="7" t="s">
        <v>58</v>
      </c>
      <c r="C38" s="14"/>
      <c r="D38" s="14"/>
      <c r="E38" s="14"/>
      <c r="F38" s="14" t="s">
        <v>88</v>
      </c>
      <c r="G38" s="13"/>
      <c r="H38" s="14">
        <f>IF(C38="X",1)+IF(D38="X",2)+IF(E38="X",3)+IF(F38="X",4)+IF(G38="X",5)</f>
        <v>4</v>
      </c>
    </row>
    <row r="39" spans="1:8" ht="25.5" customHeight="1" x14ac:dyDescent="0.3">
      <c r="A39" s="9" t="s">
        <v>59</v>
      </c>
      <c r="B39" s="10" t="s">
        <v>60</v>
      </c>
      <c r="C39" s="8"/>
      <c r="D39" s="8"/>
      <c r="E39" s="8"/>
      <c r="F39" s="13"/>
      <c r="G39" s="8" t="s">
        <v>88</v>
      </c>
      <c r="H39" s="8">
        <f>IF(C39="X",1)+IF(D39="X",2)+IF(E39="X",3)+IF(F39="X",4)+IF(G39="X",5)</f>
        <v>5</v>
      </c>
    </row>
    <row r="40" spans="1:8" ht="25.5" customHeight="1" x14ac:dyDescent="0.3">
      <c r="A40" s="6" t="s">
        <v>61</v>
      </c>
      <c r="B40" s="7" t="s">
        <v>62</v>
      </c>
      <c r="C40" s="14"/>
      <c r="D40" s="14"/>
      <c r="E40" s="14"/>
      <c r="F40" s="13" t="s">
        <v>88</v>
      </c>
      <c r="G40" s="14"/>
      <c r="H40" s="14">
        <f>IF(C40="X",1)+IF(D40="X",2)+IF(E40="X",3)+IF(F40="X",4)+IF(G40="X",5)</f>
        <v>4</v>
      </c>
    </row>
    <row r="41" spans="1:8" ht="24" customHeight="1" x14ac:dyDescent="0.3">
      <c r="A41" s="15"/>
      <c r="B41" s="16" t="s">
        <v>63</v>
      </c>
      <c r="C41" s="15"/>
      <c r="D41" s="15"/>
      <c r="E41" s="15"/>
      <c r="F41" s="15"/>
      <c r="G41" s="15"/>
      <c r="H41" s="17">
        <f>AVERAGE(H37:H40)</f>
        <v>4.25</v>
      </c>
    </row>
    <row r="43" spans="1:8" ht="27.75" customHeight="1" x14ac:dyDescent="0.3">
      <c r="A43" s="5" t="s">
        <v>64</v>
      </c>
      <c r="B43" s="5"/>
      <c r="C43" s="5"/>
      <c r="D43" s="5"/>
      <c r="E43" s="5"/>
      <c r="F43" s="5"/>
      <c r="G43" s="5"/>
      <c r="H43" s="5"/>
    </row>
    <row r="44" spans="1:8" ht="30" customHeight="1" x14ac:dyDescent="0.3">
      <c r="A44" s="6" t="s">
        <v>65</v>
      </c>
      <c r="B44" s="7" t="s">
        <v>66</v>
      </c>
      <c r="C44" s="19" t="s">
        <v>89</v>
      </c>
      <c r="D44" s="19"/>
      <c r="E44" s="19"/>
      <c r="F44" s="19"/>
      <c r="G44" s="19"/>
      <c r="H44" s="19"/>
    </row>
    <row r="45" spans="1:8" ht="30" customHeight="1" x14ac:dyDescent="0.3">
      <c r="A45" s="9" t="s">
        <v>67</v>
      </c>
      <c r="B45" s="10" t="s">
        <v>68</v>
      </c>
      <c r="C45" s="18" t="s">
        <v>112</v>
      </c>
      <c r="D45" s="18"/>
      <c r="E45" s="18"/>
      <c r="F45" s="18"/>
      <c r="G45" s="18"/>
      <c r="H45" s="18"/>
    </row>
    <row r="46" spans="1:8" ht="30" customHeight="1" x14ac:dyDescent="0.3">
      <c r="A46" s="6" t="s">
        <v>69</v>
      </c>
      <c r="B46" s="7" t="s">
        <v>70</v>
      </c>
      <c r="C46" s="19" t="s">
        <v>106</v>
      </c>
      <c r="D46" s="19"/>
      <c r="E46" s="19"/>
      <c r="F46" s="19"/>
      <c r="G46" s="19"/>
      <c r="H46" s="19"/>
    </row>
    <row r="47" spans="1:8" ht="30" customHeight="1" x14ac:dyDescent="0.3">
      <c r="A47" s="9" t="s">
        <v>71</v>
      </c>
      <c r="B47" s="10" t="s">
        <v>72</v>
      </c>
      <c r="C47" s="18" t="s">
        <v>100</v>
      </c>
      <c r="D47" s="18"/>
      <c r="E47" s="18"/>
      <c r="F47" s="18"/>
      <c r="G47" s="18"/>
      <c r="H47" s="18"/>
    </row>
    <row r="48" spans="1:8" ht="30" customHeight="1" x14ac:dyDescent="0.3">
      <c r="A48" s="6" t="s">
        <v>73</v>
      </c>
      <c r="B48" s="7" t="s">
        <v>74</v>
      </c>
      <c r="C48" s="19" t="s">
        <v>101</v>
      </c>
      <c r="D48" s="19"/>
      <c r="E48" s="19"/>
      <c r="F48" s="19"/>
      <c r="G48" s="19"/>
      <c r="H48" s="19"/>
    </row>
    <row r="49" spans="1:8" ht="30" customHeight="1" x14ac:dyDescent="0.3">
      <c r="A49" s="9" t="s">
        <v>75</v>
      </c>
      <c r="B49" s="10" t="s">
        <v>76</v>
      </c>
      <c r="C49" s="18" t="s">
        <v>100</v>
      </c>
      <c r="D49" s="18"/>
      <c r="E49" s="18"/>
      <c r="F49" s="18"/>
      <c r="G49" s="18"/>
      <c r="H49" s="18"/>
    </row>
    <row r="51" spans="1:8" ht="27.75" customHeight="1" x14ac:dyDescent="0.3">
      <c r="A51" s="5" t="s">
        <v>77</v>
      </c>
      <c r="B51" s="5"/>
      <c r="C51" s="5"/>
      <c r="D51" s="5"/>
      <c r="E51" s="5"/>
      <c r="F51" s="5"/>
      <c r="G51" s="5"/>
      <c r="H51" s="5"/>
    </row>
    <row r="52" spans="1:8" ht="31.5" customHeight="1" x14ac:dyDescent="0.3">
      <c r="A52" s="6" t="s">
        <v>78</v>
      </c>
      <c r="B52" s="7" t="s">
        <v>79</v>
      </c>
      <c r="C52" s="19" t="s">
        <v>98</v>
      </c>
      <c r="D52" s="19"/>
      <c r="E52" s="19"/>
      <c r="F52" s="19"/>
      <c r="G52" s="19"/>
      <c r="H52" s="19"/>
    </row>
    <row r="53" spans="1:8" ht="31.5" customHeight="1" x14ac:dyDescent="0.3">
      <c r="A53" s="9" t="s">
        <v>80</v>
      </c>
      <c r="B53" s="10" t="s">
        <v>81</v>
      </c>
      <c r="C53" s="18" t="s">
        <v>95</v>
      </c>
      <c r="D53" s="18"/>
      <c r="E53" s="18"/>
      <c r="F53" s="18"/>
      <c r="G53" s="18"/>
      <c r="H53" s="18"/>
    </row>
    <row r="54" spans="1:8" ht="31.5" customHeight="1" x14ac:dyDescent="0.3">
      <c r="A54" s="6" t="s">
        <v>82</v>
      </c>
      <c r="B54" s="7" t="s">
        <v>83</v>
      </c>
      <c r="C54" s="19" t="s">
        <v>156</v>
      </c>
      <c r="D54" s="19"/>
      <c r="E54" s="19"/>
      <c r="F54" s="19"/>
      <c r="G54" s="19"/>
      <c r="H54" s="19"/>
    </row>
    <row r="55" spans="1:8" ht="31.5" customHeight="1" x14ac:dyDescent="0.3">
      <c r="A55" s="9" t="s">
        <v>84</v>
      </c>
      <c r="B55" s="10" t="s">
        <v>85</v>
      </c>
      <c r="C55" s="18" t="s">
        <v>157</v>
      </c>
      <c r="D55" s="18"/>
      <c r="E55" s="18"/>
      <c r="F55" s="18"/>
      <c r="G55" s="18"/>
      <c r="H55" s="18"/>
    </row>
    <row r="56" spans="1:8" ht="31.5" customHeight="1" x14ac:dyDescent="0.3">
      <c r="A56" s="6" t="s">
        <v>86</v>
      </c>
      <c r="B56" s="7" t="s">
        <v>87</v>
      </c>
      <c r="C56" s="19" t="s">
        <v>113</v>
      </c>
      <c r="D56" s="19"/>
      <c r="E56" s="19"/>
      <c r="F56" s="19"/>
      <c r="G56" s="19"/>
      <c r="H56" s="19"/>
    </row>
  </sheetData>
  <mergeCells count="19">
    <mergeCell ref="C53:H53"/>
    <mergeCell ref="C54:H54"/>
    <mergeCell ref="C55:H55"/>
    <mergeCell ref="C56:H56"/>
    <mergeCell ref="C47:H47"/>
    <mergeCell ref="C48:H48"/>
    <mergeCell ref="C49:H49"/>
    <mergeCell ref="A51:H51"/>
    <mergeCell ref="C52:H52"/>
    <mergeCell ref="A35:H35"/>
    <mergeCell ref="A43:H43"/>
    <mergeCell ref="C44:H44"/>
    <mergeCell ref="C45:H45"/>
    <mergeCell ref="C46:H46"/>
    <mergeCell ref="A1:H1"/>
    <mergeCell ref="A3:H3"/>
    <mergeCell ref="A10:H10"/>
    <mergeCell ref="A19:H19"/>
    <mergeCell ref="A27:H2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6"/>
  <sheetViews>
    <sheetView showGridLines="0" zoomScaleNormal="100" workbookViewId="0">
      <pane ySplit="2" topLeftCell="A33" activePane="bottomLeft" state="frozen"/>
      <selection pane="bottomLeft" sqref="A1:H1"/>
    </sheetView>
  </sheetViews>
  <sheetFormatPr defaultColWidth="8.6640625" defaultRowHeight="14.4" x14ac:dyDescent="0.3"/>
  <cols>
    <col min="1" max="1" width="10" style="4" customWidth="1"/>
    <col min="2" max="2" width="62" style="4" customWidth="1"/>
    <col min="3" max="7" width="15" style="4" customWidth="1"/>
    <col min="8" max="8" width="10" style="4" customWidth="1"/>
    <col min="9" max="16384" width="8.6640625" style="4"/>
  </cols>
  <sheetData>
    <row r="1" spans="1:8" ht="31.5" customHeight="1" x14ac:dyDescent="0.3">
      <c r="A1" s="21" t="s">
        <v>189</v>
      </c>
      <c r="B1" s="21"/>
      <c r="C1" s="21"/>
      <c r="D1" s="21"/>
      <c r="E1" s="21"/>
      <c r="F1" s="21"/>
      <c r="G1" s="21"/>
      <c r="H1" s="21"/>
    </row>
    <row r="3" spans="1:8" ht="27.75" customHeight="1" x14ac:dyDescent="0.3">
      <c r="A3" s="5" t="s">
        <v>0</v>
      </c>
      <c r="B3" s="5"/>
      <c r="C3" s="5"/>
      <c r="D3" s="5"/>
      <c r="E3" s="5"/>
      <c r="F3" s="5"/>
      <c r="G3" s="5"/>
      <c r="H3" s="5"/>
    </row>
    <row r="4" spans="1:8" ht="24" customHeight="1" x14ac:dyDescent="0.3">
      <c r="A4" s="6" t="s">
        <v>1</v>
      </c>
      <c r="B4" s="7" t="s">
        <v>2</v>
      </c>
      <c r="C4" s="8" t="s">
        <v>3</v>
      </c>
      <c r="D4" s="8" t="s">
        <v>4</v>
      </c>
      <c r="E4" s="3" t="s">
        <v>153</v>
      </c>
      <c r="F4" s="8" t="s">
        <v>6</v>
      </c>
    </row>
    <row r="5" spans="1:8" ht="24" customHeight="1" x14ac:dyDescent="0.3">
      <c r="A5" s="9" t="s">
        <v>7</v>
      </c>
      <c r="B5" s="10" t="s">
        <v>8</v>
      </c>
      <c r="C5" s="3" t="s">
        <v>136</v>
      </c>
      <c r="D5" s="8" t="s">
        <v>10</v>
      </c>
      <c r="E5" s="8" t="s">
        <v>11</v>
      </c>
      <c r="F5" s="8" t="s">
        <v>12</v>
      </c>
    </row>
    <row r="6" spans="1:8" ht="24" customHeight="1" x14ac:dyDescent="0.3">
      <c r="A6" s="6" t="s">
        <v>13</v>
      </c>
      <c r="B6" s="7" t="s">
        <v>14</v>
      </c>
      <c r="C6" s="13" t="s">
        <v>136</v>
      </c>
      <c r="D6" s="9" t="s">
        <v>10</v>
      </c>
      <c r="E6" s="8" t="s">
        <v>11</v>
      </c>
      <c r="F6" s="8" t="s">
        <v>12</v>
      </c>
    </row>
    <row r="7" spans="1:8" ht="24" customHeight="1" x14ac:dyDescent="0.3">
      <c r="A7" s="9" t="s">
        <v>15</v>
      </c>
      <c r="B7" s="10" t="s">
        <v>16</v>
      </c>
      <c r="C7" s="3" t="s">
        <v>17</v>
      </c>
      <c r="D7" s="8" t="s">
        <v>18</v>
      </c>
      <c r="E7" s="11"/>
      <c r="F7" s="11"/>
    </row>
    <row r="8" spans="1:8" x14ac:dyDescent="0.3">
      <c r="B8" s="39" t="s">
        <v>114</v>
      </c>
    </row>
    <row r="10" spans="1:8" ht="27.75" customHeight="1" x14ac:dyDescent="0.3">
      <c r="A10" s="5" t="s">
        <v>19</v>
      </c>
      <c r="B10" s="5"/>
      <c r="C10" s="5"/>
      <c r="D10" s="5"/>
      <c r="E10" s="5"/>
      <c r="F10" s="5"/>
      <c r="G10" s="5"/>
      <c r="H10" s="5"/>
    </row>
    <row r="11" spans="1:8" ht="33.75" customHeight="1" x14ac:dyDescent="0.3">
      <c r="A11" s="12" t="s">
        <v>20</v>
      </c>
      <c r="B11" s="12" t="s">
        <v>21</v>
      </c>
      <c r="C11" s="12" t="s">
        <v>131</v>
      </c>
      <c r="D11" s="12" t="s">
        <v>132</v>
      </c>
      <c r="E11" s="12" t="s">
        <v>133</v>
      </c>
      <c r="F11" s="12" t="s">
        <v>134</v>
      </c>
      <c r="G11" s="12" t="s">
        <v>135</v>
      </c>
      <c r="H11" s="12" t="s">
        <v>22</v>
      </c>
    </row>
    <row r="12" spans="1:8" ht="25.5" customHeight="1" x14ac:dyDescent="0.3">
      <c r="A12" s="6" t="s">
        <v>23</v>
      </c>
      <c r="B12" s="7" t="s">
        <v>24</v>
      </c>
      <c r="C12" s="14"/>
      <c r="D12" s="14"/>
      <c r="E12" s="14"/>
      <c r="F12" s="13" t="s">
        <v>88</v>
      </c>
      <c r="G12" s="14"/>
      <c r="H12" s="14">
        <f>IF(C12="X",1)+IF(D12="X",2)+IF(E12="X",3)+IF(F12="X",4)+IF(G12="X",5)</f>
        <v>4</v>
      </c>
    </row>
    <row r="13" spans="1:8" ht="25.5" customHeight="1" x14ac:dyDescent="0.3">
      <c r="A13" s="9" t="s">
        <v>25</v>
      </c>
      <c r="B13" s="10" t="s">
        <v>26</v>
      </c>
      <c r="C13" s="8"/>
      <c r="D13" s="8"/>
      <c r="E13" s="8"/>
      <c r="F13" s="8"/>
      <c r="G13" s="13" t="s">
        <v>88</v>
      </c>
      <c r="H13" s="8">
        <f>IF(C13="X",1)+IF(D13="X",2)+IF(E13="X",3)+IF(F13="X",4)+IF(G13="X",5)</f>
        <v>5</v>
      </c>
    </row>
    <row r="14" spans="1:8" ht="25.5" customHeight="1" x14ac:dyDescent="0.3">
      <c r="A14" s="6" t="s">
        <v>27</v>
      </c>
      <c r="B14" s="7" t="s">
        <v>28</v>
      </c>
      <c r="C14" s="14"/>
      <c r="D14" s="14"/>
      <c r="E14" s="14"/>
      <c r="F14" s="13" t="s">
        <v>88</v>
      </c>
      <c r="G14" s="14"/>
      <c r="H14" s="14">
        <f>IF(C14="X",1)+IF(D14="X",2)+IF(E14="X",3)+IF(F14="X",4)+IF(G14="X",5)</f>
        <v>4</v>
      </c>
    </row>
    <row r="15" spans="1:8" ht="25.5" customHeight="1" x14ac:dyDescent="0.3">
      <c r="A15" s="9" t="s">
        <v>29</v>
      </c>
      <c r="B15" s="10" t="s">
        <v>30</v>
      </c>
      <c r="C15" s="8"/>
      <c r="D15" s="8"/>
      <c r="E15" s="8"/>
      <c r="F15" s="8"/>
      <c r="G15" s="13" t="s">
        <v>88</v>
      </c>
      <c r="H15" s="8">
        <f>IF(C15="X",1)+IF(D15="X",2)+IF(E15="X",3)+IF(F15="X",4)+IF(G15="X",5)</f>
        <v>5</v>
      </c>
    </row>
    <row r="16" spans="1:8" ht="25.5" customHeight="1" x14ac:dyDescent="0.3">
      <c r="A16" s="6" t="s">
        <v>31</v>
      </c>
      <c r="B16" s="7" t="s">
        <v>32</v>
      </c>
      <c r="C16" s="14"/>
      <c r="D16" s="14"/>
      <c r="E16" s="14"/>
      <c r="F16" s="14"/>
      <c r="G16" s="13" t="s">
        <v>88</v>
      </c>
      <c r="H16" s="14">
        <f>IF(C16="X",1)+IF(D16="X",2)+IF(E16="X",3)+IF(F16="X",4)+IF(G16="X",5)</f>
        <v>5</v>
      </c>
    </row>
    <row r="17" spans="1:8" ht="24" customHeight="1" x14ac:dyDescent="0.3">
      <c r="A17" s="15"/>
      <c r="B17" s="16" t="s">
        <v>33</v>
      </c>
      <c r="C17" s="15"/>
      <c r="D17" s="15"/>
      <c r="E17" s="15"/>
      <c r="F17" s="15"/>
      <c r="G17" s="15"/>
      <c r="H17" s="17">
        <f>AVERAGE(H12:H16)</f>
        <v>4.5999999999999996</v>
      </c>
    </row>
    <row r="19" spans="1:8" ht="27.75" customHeight="1" x14ac:dyDescent="0.3">
      <c r="A19" s="5" t="s">
        <v>34</v>
      </c>
      <c r="B19" s="5"/>
      <c r="C19" s="5"/>
      <c r="D19" s="5"/>
      <c r="E19" s="5"/>
      <c r="F19" s="5"/>
      <c r="G19" s="5"/>
      <c r="H19" s="5"/>
    </row>
    <row r="20" spans="1:8" ht="33.75" customHeight="1" x14ac:dyDescent="0.3">
      <c r="A20" s="12" t="s">
        <v>20</v>
      </c>
      <c r="B20" s="12" t="s">
        <v>21</v>
      </c>
      <c r="C20" s="12" t="s">
        <v>131</v>
      </c>
      <c r="D20" s="12" t="s">
        <v>132</v>
      </c>
      <c r="E20" s="12" t="s">
        <v>133</v>
      </c>
      <c r="F20" s="12" t="s">
        <v>134</v>
      </c>
      <c r="G20" s="12" t="s">
        <v>135</v>
      </c>
      <c r="H20" s="12" t="s">
        <v>22</v>
      </c>
    </row>
    <row r="21" spans="1:8" ht="25.5" customHeight="1" x14ac:dyDescent="0.3">
      <c r="A21" s="9" t="s">
        <v>35</v>
      </c>
      <c r="B21" s="10" t="s">
        <v>36</v>
      </c>
      <c r="C21" s="8"/>
      <c r="D21" s="8"/>
      <c r="E21" s="8"/>
      <c r="F21" s="13" t="s">
        <v>88</v>
      </c>
      <c r="G21" s="8"/>
      <c r="H21" s="8">
        <f>IF(C21="X",1)+IF(D21="X",2)+IF(E21="X",3)+IF(F21="X",4)+IF(G21="X",5)</f>
        <v>4</v>
      </c>
    </row>
    <row r="22" spans="1:8" ht="25.5" customHeight="1" x14ac:dyDescent="0.3">
      <c r="A22" s="6" t="s">
        <v>37</v>
      </c>
      <c r="B22" s="7" t="s">
        <v>38</v>
      </c>
      <c r="C22" s="14"/>
      <c r="D22" s="14"/>
      <c r="E22" s="14"/>
      <c r="F22" s="14"/>
      <c r="G22" s="13" t="s">
        <v>88</v>
      </c>
      <c r="H22" s="14">
        <f>IF(C22="X",1)+IF(D22="X",2)+IF(E22="X",3)+IF(F22="X",4)+IF(G22="X",5)</f>
        <v>5</v>
      </c>
    </row>
    <row r="23" spans="1:8" ht="25.5" customHeight="1" x14ac:dyDescent="0.3">
      <c r="A23" s="9" t="s">
        <v>39</v>
      </c>
      <c r="B23" s="10" t="s">
        <v>40</v>
      </c>
      <c r="C23" s="8"/>
      <c r="D23" s="8"/>
      <c r="E23" s="8"/>
      <c r="F23" s="8"/>
      <c r="G23" s="13" t="s">
        <v>88</v>
      </c>
      <c r="H23" s="8">
        <f>IF(C23="X",1)+IF(D23="X",2)+IF(E23="X",3)+IF(F23="X",4)+IF(G23="X",5)</f>
        <v>5</v>
      </c>
    </row>
    <row r="24" spans="1:8" ht="25.5" customHeight="1" x14ac:dyDescent="0.3">
      <c r="A24" s="6" t="s">
        <v>41</v>
      </c>
      <c r="B24" s="7" t="s">
        <v>42</v>
      </c>
      <c r="C24" s="14"/>
      <c r="D24" s="14"/>
      <c r="E24" s="14"/>
      <c r="F24" s="14"/>
      <c r="G24" s="13" t="s">
        <v>88</v>
      </c>
      <c r="H24" s="14">
        <f>IF(C24="X",1)+IF(D24="X",2)+IF(E24="X",3)+IF(F24="X",4)+IF(G24="X",5)</f>
        <v>5</v>
      </c>
    </row>
    <row r="25" spans="1:8" ht="24" customHeight="1" x14ac:dyDescent="0.3">
      <c r="A25" s="15"/>
      <c r="B25" s="16" t="s">
        <v>43</v>
      </c>
      <c r="C25" s="15"/>
      <c r="D25" s="15"/>
      <c r="E25" s="15"/>
      <c r="F25" s="15"/>
      <c r="G25" s="15"/>
      <c r="H25" s="17">
        <f>AVERAGE(H21:H24)</f>
        <v>4.75</v>
      </c>
    </row>
    <row r="27" spans="1:8" ht="27.75" customHeight="1" x14ac:dyDescent="0.3">
      <c r="A27" s="5" t="s">
        <v>44</v>
      </c>
      <c r="B27" s="5"/>
      <c r="C27" s="5"/>
      <c r="D27" s="5"/>
      <c r="E27" s="5"/>
      <c r="F27" s="5"/>
      <c r="G27" s="5"/>
      <c r="H27" s="5"/>
    </row>
    <row r="28" spans="1:8" ht="33.75" customHeight="1" x14ac:dyDescent="0.3">
      <c r="A28" s="12" t="s">
        <v>20</v>
      </c>
      <c r="B28" s="12" t="s">
        <v>21</v>
      </c>
      <c r="C28" s="12" t="s">
        <v>131</v>
      </c>
      <c r="D28" s="12" t="s">
        <v>132</v>
      </c>
      <c r="E28" s="12" t="s">
        <v>133</v>
      </c>
      <c r="F28" s="12" t="s">
        <v>134</v>
      </c>
      <c r="G28" s="12" t="s">
        <v>135</v>
      </c>
      <c r="H28" s="12" t="s">
        <v>22</v>
      </c>
    </row>
    <row r="29" spans="1:8" ht="25.5" customHeight="1" x14ac:dyDescent="0.3">
      <c r="A29" s="9" t="s">
        <v>45</v>
      </c>
      <c r="B29" s="10" t="s">
        <v>46</v>
      </c>
      <c r="C29" s="8"/>
      <c r="D29" s="8"/>
      <c r="E29" s="8"/>
      <c r="F29" s="8"/>
      <c r="G29" s="13" t="s">
        <v>88</v>
      </c>
      <c r="H29" s="8">
        <f>IF(C29="X",1)+IF(D29="X",2)+IF(E29="X",3)+IF(F29="X",4)+IF(G29="X",5)</f>
        <v>5</v>
      </c>
    </row>
    <row r="30" spans="1:8" ht="25.5" customHeight="1" x14ac:dyDescent="0.3">
      <c r="A30" s="6" t="s">
        <v>47</v>
      </c>
      <c r="B30" s="7" t="s">
        <v>48</v>
      </c>
      <c r="C30" s="14"/>
      <c r="D30" s="14"/>
      <c r="E30" s="14"/>
      <c r="F30" s="14" t="s">
        <v>88</v>
      </c>
      <c r="G30" s="13"/>
      <c r="H30" s="14">
        <f>IF(C30="X",1)+IF(D30="X",2)+IF(E30="X",3)+IF(F30="X",4)+IF(G30="X",5)</f>
        <v>4</v>
      </c>
    </row>
    <row r="31" spans="1:8" ht="25.5" customHeight="1" x14ac:dyDescent="0.3">
      <c r="A31" s="9" t="s">
        <v>49</v>
      </c>
      <c r="B31" s="10" t="s">
        <v>50</v>
      </c>
      <c r="C31" s="8"/>
      <c r="D31" s="8"/>
      <c r="E31" s="8" t="s">
        <v>88</v>
      </c>
      <c r="F31" s="8"/>
      <c r="G31" s="13"/>
      <c r="H31" s="8">
        <f>IF(C31="X",1)+IF(D31="X",2)+IF(E31="X",3)+IF(F31="X",4)+IF(G31="X",5)</f>
        <v>3</v>
      </c>
    </row>
    <row r="32" spans="1:8" ht="25.5" customHeight="1" x14ac:dyDescent="0.3">
      <c r="A32" s="6" t="s">
        <v>51</v>
      </c>
      <c r="B32" s="7" t="s">
        <v>52</v>
      </c>
      <c r="C32" s="14"/>
      <c r="D32" s="14"/>
      <c r="E32" s="14"/>
      <c r="F32" s="14"/>
      <c r="G32" s="13" t="s">
        <v>88</v>
      </c>
      <c r="H32" s="14">
        <f>IF(C32="X",1)+IF(D32="X",2)+IF(E32="X",3)+IF(F32="X",4)+IF(G32="X",5)</f>
        <v>5</v>
      </c>
    </row>
    <row r="33" spans="1:8" ht="24" customHeight="1" x14ac:dyDescent="0.3">
      <c r="A33" s="15"/>
      <c r="B33" s="16" t="s">
        <v>53</v>
      </c>
      <c r="C33" s="15"/>
      <c r="D33" s="15"/>
      <c r="E33" s="15"/>
      <c r="F33" s="15"/>
      <c r="G33" s="15"/>
      <c r="H33" s="17">
        <f>AVERAGE(H29:H32)</f>
        <v>4.25</v>
      </c>
    </row>
    <row r="35" spans="1:8" ht="27.75" customHeight="1" x14ac:dyDescent="0.3">
      <c r="A35" s="5" t="s">
        <v>54</v>
      </c>
      <c r="B35" s="5"/>
      <c r="C35" s="5"/>
      <c r="D35" s="5"/>
      <c r="E35" s="5"/>
      <c r="F35" s="5"/>
      <c r="G35" s="5"/>
      <c r="H35" s="5"/>
    </row>
    <row r="36" spans="1:8" ht="33.75" customHeight="1" x14ac:dyDescent="0.3">
      <c r="A36" s="12" t="s">
        <v>20</v>
      </c>
      <c r="B36" s="12" t="s">
        <v>21</v>
      </c>
      <c r="C36" s="12" t="s">
        <v>131</v>
      </c>
      <c r="D36" s="12" t="s">
        <v>132</v>
      </c>
      <c r="E36" s="12" t="s">
        <v>133</v>
      </c>
      <c r="F36" s="12" t="s">
        <v>134</v>
      </c>
      <c r="G36" s="12" t="s">
        <v>135</v>
      </c>
      <c r="H36" s="12" t="s">
        <v>22</v>
      </c>
    </row>
    <row r="37" spans="1:8" ht="25.5" customHeight="1" x14ac:dyDescent="0.3">
      <c r="A37" s="9" t="s">
        <v>55</v>
      </c>
      <c r="B37" s="10" t="s">
        <v>56</v>
      </c>
      <c r="C37" s="8"/>
      <c r="D37" s="8"/>
      <c r="E37" s="8"/>
      <c r="F37" s="8"/>
      <c r="G37" s="13" t="s">
        <v>88</v>
      </c>
      <c r="H37" s="8">
        <f>IF(C37="X",1)+IF(D37="X",2)+IF(E37="X",3)+IF(F37="X",4)+IF(G37="X",5)</f>
        <v>5</v>
      </c>
    </row>
    <row r="38" spans="1:8" ht="25.5" customHeight="1" x14ac:dyDescent="0.3">
      <c r="A38" s="6" t="s">
        <v>57</v>
      </c>
      <c r="B38" s="7" t="s">
        <v>58</v>
      </c>
      <c r="C38" s="14"/>
      <c r="D38" s="14"/>
      <c r="E38" s="14"/>
      <c r="F38" s="14"/>
      <c r="G38" s="13" t="s">
        <v>88</v>
      </c>
      <c r="H38" s="14">
        <f>IF(C38="X",1)+IF(D38="X",2)+IF(E38="X",3)+IF(F38="X",4)+IF(G38="X",5)</f>
        <v>5</v>
      </c>
    </row>
    <row r="39" spans="1:8" ht="25.5" customHeight="1" x14ac:dyDescent="0.3">
      <c r="A39" s="9" t="s">
        <v>59</v>
      </c>
      <c r="B39" s="10" t="s">
        <v>60</v>
      </c>
      <c r="C39" s="8"/>
      <c r="D39" s="8"/>
      <c r="E39" s="8"/>
      <c r="F39" s="8"/>
      <c r="G39" s="13" t="s">
        <v>88</v>
      </c>
      <c r="H39" s="8">
        <f>IF(C39="X",1)+IF(D39="X",2)+IF(E39="X",3)+IF(F39="X",4)+IF(G39="X",5)</f>
        <v>5</v>
      </c>
    </row>
    <row r="40" spans="1:8" ht="25.5" customHeight="1" x14ac:dyDescent="0.3">
      <c r="A40" s="6" t="s">
        <v>61</v>
      </c>
      <c r="B40" s="7" t="s">
        <v>62</v>
      </c>
      <c r="C40" s="14"/>
      <c r="D40" s="14"/>
      <c r="E40" s="14"/>
      <c r="F40" s="14"/>
      <c r="G40" s="13" t="s">
        <v>88</v>
      </c>
      <c r="H40" s="14">
        <f>IF(C40="X",1)+IF(D40="X",2)+IF(E40="X",3)+IF(F40="X",4)+IF(G40="X",5)</f>
        <v>5</v>
      </c>
    </row>
    <row r="41" spans="1:8" ht="24" customHeight="1" x14ac:dyDescent="0.3">
      <c r="A41" s="15"/>
      <c r="B41" s="16" t="s">
        <v>63</v>
      </c>
      <c r="C41" s="15"/>
      <c r="D41" s="15"/>
      <c r="E41" s="15"/>
      <c r="F41" s="15"/>
      <c r="G41" s="15"/>
      <c r="H41" s="17">
        <f>AVERAGE(H37:H40)</f>
        <v>5</v>
      </c>
    </row>
    <row r="43" spans="1:8" ht="27.75" customHeight="1" x14ac:dyDescent="0.3">
      <c r="A43" s="5" t="s">
        <v>64</v>
      </c>
      <c r="B43" s="5"/>
      <c r="C43" s="5"/>
      <c r="D43" s="5"/>
      <c r="E43" s="5"/>
      <c r="F43" s="5"/>
      <c r="G43" s="5"/>
      <c r="H43" s="5"/>
    </row>
    <row r="44" spans="1:8" ht="30" customHeight="1" x14ac:dyDescent="0.3">
      <c r="A44" s="6" t="s">
        <v>65</v>
      </c>
      <c r="B44" s="7" t="s">
        <v>66</v>
      </c>
      <c r="C44" s="19" t="s">
        <v>89</v>
      </c>
      <c r="D44" s="19"/>
      <c r="E44" s="19"/>
      <c r="F44" s="19"/>
      <c r="G44" s="19"/>
      <c r="H44" s="19"/>
    </row>
    <row r="45" spans="1:8" ht="30" customHeight="1" x14ac:dyDescent="0.3">
      <c r="A45" s="9" t="s">
        <v>67</v>
      </c>
      <c r="B45" s="10" t="s">
        <v>68</v>
      </c>
      <c r="C45" s="18" t="s">
        <v>158</v>
      </c>
      <c r="D45" s="18"/>
      <c r="E45" s="18"/>
      <c r="F45" s="18"/>
      <c r="G45" s="18"/>
      <c r="H45" s="18"/>
    </row>
    <row r="46" spans="1:8" ht="30" customHeight="1" x14ac:dyDescent="0.3">
      <c r="A46" s="6" t="s">
        <v>69</v>
      </c>
      <c r="B46" s="7" t="s">
        <v>70</v>
      </c>
      <c r="C46" s="19" t="s">
        <v>106</v>
      </c>
      <c r="D46" s="19"/>
      <c r="E46" s="19"/>
      <c r="F46" s="19"/>
      <c r="G46" s="19"/>
      <c r="H46" s="19"/>
    </row>
    <row r="47" spans="1:8" ht="30" customHeight="1" x14ac:dyDescent="0.3">
      <c r="A47" s="9" t="s">
        <v>71</v>
      </c>
      <c r="B47" s="10" t="s">
        <v>72</v>
      </c>
      <c r="C47" s="18" t="s">
        <v>100</v>
      </c>
      <c r="D47" s="18"/>
      <c r="E47" s="18"/>
      <c r="F47" s="18"/>
      <c r="G47" s="18"/>
      <c r="H47" s="18"/>
    </row>
    <row r="48" spans="1:8" ht="30" customHeight="1" x14ac:dyDescent="0.3">
      <c r="A48" s="6" t="s">
        <v>73</v>
      </c>
      <c r="B48" s="7" t="s">
        <v>74</v>
      </c>
      <c r="C48" s="19" t="s">
        <v>101</v>
      </c>
      <c r="D48" s="19"/>
      <c r="E48" s="19"/>
      <c r="F48" s="19"/>
      <c r="G48" s="19"/>
      <c r="H48" s="19"/>
    </row>
    <row r="49" spans="1:8" ht="30" customHeight="1" x14ac:dyDescent="0.3">
      <c r="A49" s="9" t="s">
        <v>75</v>
      </c>
      <c r="B49" s="10" t="s">
        <v>76</v>
      </c>
      <c r="C49" s="18" t="s">
        <v>93</v>
      </c>
      <c r="D49" s="18"/>
      <c r="E49" s="18"/>
      <c r="F49" s="18"/>
      <c r="G49" s="18"/>
      <c r="H49" s="18"/>
    </row>
    <row r="51" spans="1:8" ht="27.75" customHeight="1" x14ac:dyDescent="0.3">
      <c r="A51" s="5" t="s">
        <v>77</v>
      </c>
      <c r="B51" s="5"/>
      <c r="C51" s="5"/>
      <c r="D51" s="5"/>
      <c r="E51" s="5"/>
      <c r="F51" s="5"/>
      <c r="G51" s="5"/>
      <c r="H51" s="5"/>
    </row>
    <row r="52" spans="1:8" ht="31.5" customHeight="1" x14ac:dyDescent="0.3">
      <c r="A52" s="6" t="s">
        <v>78</v>
      </c>
      <c r="B52" s="7" t="s">
        <v>79</v>
      </c>
      <c r="C52" s="19" t="s">
        <v>94</v>
      </c>
      <c r="D52" s="19"/>
      <c r="E52" s="19"/>
      <c r="F52" s="19"/>
      <c r="G52" s="19"/>
      <c r="H52" s="19"/>
    </row>
    <row r="53" spans="1:8" ht="31.5" customHeight="1" x14ac:dyDescent="0.3">
      <c r="A53" s="9" t="s">
        <v>80</v>
      </c>
      <c r="B53" s="10" t="s">
        <v>81</v>
      </c>
      <c r="C53" s="18" t="s">
        <v>95</v>
      </c>
      <c r="D53" s="18"/>
      <c r="E53" s="18"/>
      <c r="F53" s="18"/>
      <c r="G53" s="18"/>
      <c r="H53" s="18"/>
    </row>
    <row r="54" spans="1:8" ht="31.5" customHeight="1" x14ac:dyDescent="0.3">
      <c r="A54" s="6" t="s">
        <v>82</v>
      </c>
      <c r="B54" s="7" t="s">
        <v>83</v>
      </c>
      <c r="C54" s="19" t="s">
        <v>159</v>
      </c>
      <c r="D54" s="19"/>
      <c r="E54" s="19"/>
      <c r="F54" s="19"/>
      <c r="G54" s="19"/>
      <c r="H54" s="19"/>
    </row>
    <row r="55" spans="1:8" ht="31.5" customHeight="1" x14ac:dyDescent="0.3">
      <c r="A55" s="9" t="s">
        <v>84</v>
      </c>
      <c r="B55" s="10" t="s">
        <v>85</v>
      </c>
      <c r="C55" s="18" t="s">
        <v>160</v>
      </c>
      <c r="D55" s="18"/>
      <c r="E55" s="18"/>
      <c r="F55" s="18"/>
      <c r="G55" s="18"/>
      <c r="H55" s="18"/>
    </row>
    <row r="56" spans="1:8" ht="31.5" customHeight="1" x14ac:dyDescent="0.3">
      <c r="A56" s="6" t="s">
        <v>86</v>
      </c>
      <c r="B56" s="7" t="s">
        <v>87</v>
      </c>
      <c r="C56" s="19" t="s">
        <v>140</v>
      </c>
      <c r="D56" s="19"/>
      <c r="E56" s="19"/>
      <c r="F56" s="19"/>
      <c r="G56" s="19"/>
      <c r="H56" s="19"/>
    </row>
  </sheetData>
  <mergeCells count="19">
    <mergeCell ref="C53:H53"/>
    <mergeCell ref="C54:H54"/>
    <mergeCell ref="C55:H55"/>
    <mergeCell ref="C56:H56"/>
    <mergeCell ref="C47:H47"/>
    <mergeCell ref="C48:H48"/>
    <mergeCell ref="C49:H49"/>
    <mergeCell ref="A51:H51"/>
    <mergeCell ref="C52:H52"/>
    <mergeCell ref="A35:H35"/>
    <mergeCell ref="A43:H43"/>
    <mergeCell ref="C44:H44"/>
    <mergeCell ref="C45:H45"/>
    <mergeCell ref="C46:H46"/>
    <mergeCell ref="A1:H1"/>
    <mergeCell ref="A3:H3"/>
    <mergeCell ref="A10:H10"/>
    <mergeCell ref="A19:H19"/>
    <mergeCell ref="A27:H2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6"/>
  <sheetViews>
    <sheetView showGridLines="0" zoomScaleNormal="100" workbookViewId="0">
      <pane ySplit="2" topLeftCell="A30" activePane="bottomLeft" state="frozen"/>
      <selection pane="bottomLeft" sqref="A1:H1"/>
    </sheetView>
  </sheetViews>
  <sheetFormatPr defaultColWidth="8.6640625" defaultRowHeight="14.4" x14ac:dyDescent="0.3"/>
  <cols>
    <col min="1" max="1" width="10" style="22" customWidth="1"/>
    <col min="2" max="2" width="62" style="22" customWidth="1"/>
    <col min="3" max="7" width="15" style="22" customWidth="1"/>
    <col min="8" max="8" width="10" style="22" customWidth="1"/>
    <col min="9" max="16384" width="8.6640625" style="22"/>
  </cols>
  <sheetData>
    <row r="1" spans="1:8" ht="31.5" customHeight="1" x14ac:dyDescent="0.3">
      <c r="A1" s="21" t="s">
        <v>190</v>
      </c>
      <c r="B1" s="21"/>
      <c r="C1" s="21"/>
      <c r="D1" s="21"/>
      <c r="E1" s="21"/>
      <c r="F1" s="21"/>
      <c r="G1" s="21"/>
      <c r="H1" s="21"/>
    </row>
    <row r="3" spans="1:8" ht="27.75" customHeight="1" x14ac:dyDescent="0.3">
      <c r="A3" s="23" t="s">
        <v>0</v>
      </c>
      <c r="B3" s="23"/>
      <c r="C3" s="23"/>
      <c r="D3" s="23"/>
      <c r="E3" s="23"/>
      <c r="F3" s="23"/>
      <c r="G3" s="23"/>
      <c r="H3" s="23"/>
    </row>
    <row r="4" spans="1:8" ht="24" customHeight="1" x14ac:dyDescent="0.3">
      <c r="A4" s="27" t="s">
        <v>1</v>
      </c>
      <c r="B4" s="28" t="s">
        <v>2</v>
      </c>
      <c r="C4" s="30" t="s">
        <v>161</v>
      </c>
      <c r="D4" s="29" t="s">
        <v>4</v>
      </c>
      <c r="E4" s="29" t="s">
        <v>5</v>
      </c>
      <c r="F4" s="29" t="s">
        <v>6</v>
      </c>
    </row>
    <row r="5" spans="1:8" ht="24" customHeight="1" x14ac:dyDescent="0.3">
      <c r="A5" s="31" t="s">
        <v>7</v>
      </c>
      <c r="B5" s="32" t="s">
        <v>8</v>
      </c>
      <c r="C5" s="30" t="s">
        <v>136</v>
      </c>
      <c r="D5" s="29" t="s">
        <v>10</v>
      </c>
      <c r="E5" s="29" t="s">
        <v>11</v>
      </c>
      <c r="F5" s="29" t="s">
        <v>12</v>
      </c>
    </row>
    <row r="6" spans="1:8" ht="24" customHeight="1" x14ac:dyDescent="0.3">
      <c r="A6" s="27" t="s">
        <v>13</v>
      </c>
      <c r="B6" s="28" t="s">
        <v>14</v>
      </c>
      <c r="C6" s="30" t="s">
        <v>136</v>
      </c>
      <c r="D6" s="29" t="s">
        <v>10</v>
      </c>
      <c r="E6" s="29" t="s">
        <v>11</v>
      </c>
      <c r="F6" s="29" t="s">
        <v>12</v>
      </c>
    </row>
    <row r="7" spans="1:8" ht="24" customHeight="1" x14ac:dyDescent="0.3">
      <c r="A7" s="31" t="s">
        <v>15</v>
      </c>
      <c r="B7" s="32" t="s">
        <v>16</v>
      </c>
      <c r="C7" s="30" t="s">
        <v>149</v>
      </c>
      <c r="D7" s="29" t="s">
        <v>18</v>
      </c>
      <c r="E7" s="33"/>
      <c r="F7" s="33"/>
    </row>
    <row r="8" spans="1:8" x14ac:dyDescent="0.3">
      <c r="B8" s="41" t="s">
        <v>115</v>
      </c>
    </row>
    <row r="10" spans="1:8" ht="27.75" customHeight="1" x14ac:dyDescent="0.3">
      <c r="A10" s="23" t="s">
        <v>19</v>
      </c>
      <c r="B10" s="23"/>
      <c r="C10" s="23"/>
      <c r="D10" s="23"/>
      <c r="E10" s="23"/>
      <c r="F10" s="23"/>
      <c r="G10" s="23"/>
      <c r="H10" s="23"/>
    </row>
    <row r="11" spans="1:8" ht="33.75" customHeight="1" x14ac:dyDescent="0.3">
      <c r="A11" s="34" t="s">
        <v>20</v>
      </c>
      <c r="B11" s="34" t="s">
        <v>21</v>
      </c>
      <c r="C11" s="12" t="s">
        <v>131</v>
      </c>
      <c r="D11" s="12" t="s">
        <v>132</v>
      </c>
      <c r="E11" s="12" t="s">
        <v>133</v>
      </c>
      <c r="F11" s="12" t="s">
        <v>134</v>
      </c>
      <c r="G11" s="12" t="s">
        <v>135</v>
      </c>
      <c r="H11" s="34" t="s">
        <v>22</v>
      </c>
    </row>
    <row r="12" spans="1:8" ht="25.5" customHeight="1" x14ac:dyDescent="0.3">
      <c r="A12" s="27" t="s">
        <v>23</v>
      </c>
      <c r="B12" s="28" t="s">
        <v>24</v>
      </c>
      <c r="C12" s="36"/>
      <c r="D12" s="36"/>
      <c r="E12" s="36"/>
      <c r="F12" s="36"/>
      <c r="G12" s="35" t="s">
        <v>88</v>
      </c>
      <c r="H12" s="36">
        <f>IF(C12="X",1)+IF(D12="X",2)+IF(E12="X",3)+IF(F12="X",4)+IF(G12="X",5)</f>
        <v>5</v>
      </c>
    </row>
    <row r="13" spans="1:8" ht="25.5" customHeight="1" x14ac:dyDescent="0.3">
      <c r="A13" s="31" t="s">
        <v>25</v>
      </c>
      <c r="B13" s="32" t="s">
        <v>26</v>
      </c>
      <c r="C13" s="29"/>
      <c r="D13" s="29"/>
      <c r="E13" s="29"/>
      <c r="F13" s="29"/>
      <c r="G13" s="35" t="s">
        <v>88</v>
      </c>
      <c r="H13" s="29">
        <f>IF(C13="X",1)+IF(D13="X",2)+IF(E13="X",3)+IF(F13="X",4)+IF(G13="X",5)</f>
        <v>5</v>
      </c>
    </row>
    <row r="14" spans="1:8" ht="25.5" customHeight="1" x14ac:dyDescent="0.3">
      <c r="A14" s="27" t="s">
        <v>27</v>
      </c>
      <c r="B14" s="28" t="s">
        <v>28</v>
      </c>
      <c r="C14" s="36"/>
      <c r="D14" s="36"/>
      <c r="E14" s="36"/>
      <c r="F14" s="36"/>
      <c r="G14" s="35" t="s">
        <v>88</v>
      </c>
      <c r="H14" s="36">
        <f>IF(C14="X",1)+IF(D14="X",2)+IF(E14="X",3)+IF(F14="X",4)+IF(G14="X",5)</f>
        <v>5</v>
      </c>
    </row>
    <row r="15" spans="1:8" ht="25.5" customHeight="1" x14ac:dyDescent="0.3">
      <c r="A15" s="31" t="s">
        <v>29</v>
      </c>
      <c r="B15" s="32" t="s">
        <v>30</v>
      </c>
      <c r="C15" s="29"/>
      <c r="D15" s="29"/>
      <c r="E15" s="29"/>
      <c r="F15" s="29"/>
      <c r="G15" s="35" t="s">
        <v>88</v>
      </c>
      <c r="H15" s="29">
        <f>IF(C15="X",1)+IF(D15="X",2)+IF(E15="X",3)+IF(F15="X",4)+IF(G15="X",5)</f>
        <v>5</v>
      </c>
    </row>
    <row r="16" spans="1:8" ht="25.5" customHeight="1" x14ac:dyDescent="0.3">
      <c r="A16" s="27" t="s">
        <v>31</v>
      </c>
      <c r="B16" s="28" t="s">
        <v>32</v>
      </c>
      <c r="C16" s="36"/>
      <c r="D16" s="36"/>
      <c r="E16" s="36"/>
      <c r="F16" s="36"/>
      <c r="G16" s="35" t="s">
        <v>88</v>
      </c>
      <c r="H16" s="36">
        <f>IF(C16="X",1)+IF(D16="X",2)+IF(E16="X",3)+IF(F16="X",4)+IF(G16="X",5)</f>
        <v>5</v>
      </c>
    </row>
    <row r="17" spans="1:8" ht="24" customHeight="1" x14ac:dyDescent="0.3">
      <c r="A17" s="24"/>
      <c r="B17" s="25" t="s">
        <v>33</v>
      </c>
      <c r="C17" s="24"/>
      <c r="D17" s="24"/>
      <c r="E17" s="24"/>
      <c r="F17" s="24"/>
      <c r="G17" s="24"/>
      <c r="H17" s="26">
        <f>AVERAGE(H12:H16)</f>
        <v>5</v>
      </c>
    </row>
    <row r="19" spans="1:8" ht="27.75" customHeight="1" x14ac:dyDescent="0.3">
      <c r="A19" s="23" t="s">
        <v>34</v>
      </c>
      <c r="B19" s="23"/>
      <c r="C19" s="23"/>
      <c r="D19" s="23"/>
      <c r="E19" s="23"/>
      <c r="F19" s="23"/>
      <c r="G19" s="23"/>
      <c r="H19" s="23"/>
    </row>
    <row r="20" spans="1:8" ht="33.75" customHeight="1" x14ac:dyDescent="0.3">
      <c r="A20" s="34" t="s">
        <v>20</v>
      </c>
      <c r="B20" s="34" t="s">
        <v>21</v>
      </c>
      <c r="C20" s="12" t="s">
        <v>131</v>
      </c>
      <c r="D20" s="12" t="s">
        <v>132</v>
      </c>
      <c r="E20" s="12" t="s">
        <v>133</v>
      </c>
      <c r="F20" s="12" t="s">
        <v>134</v>
      </c>
      <c r="G20" s="12" t="s">
        <v>135</v>
      </c>
      <c r="H20" s="34" t="s">
        <v>22</v>
      </c>
    </row>
    <row r="21" spans="1:8" ht="25.5" customHeight="1" x14ac:dyDescent="0.3">
      <c r="A21" s="31" t="s">
        <v>35</v>
      </c>
      <c r="B21" s="32" t="s">
        <v>36</v>
      </c>
      <c r="C21" s="29"/>
      <c r="D21" s="29"/>
      <c r="E21" s="29"/>
      <c r="F21" s="29"/>
      <c r="G21" s="35" t="s">
        <v>88</v>
      </c>
      <c r="H21" s="29">
        <f>IF(C21="X",1)+IF(D21="X",2)+IF(E21="X",3)+IF(F21="X",4)+IF(G21="X",5)</f>
        <v>5</v>
      </c>
    </row>
    <row r="22" spans="1:8" ht="25.5" customHeight="1" x14ac:dyDescent="0.3">
      <c r="A22" s="27" t="s">
        <v>37</v>
      </c>
      <c r="B22" s="28" t="s">
        <v>38</v>
      </c>
      <c r="C22" s="36"/>
      <c r="D22" s="36"/>
      <c r="E22" s="36"/>
      <c r="F22" s="36"/>
      <c r="G22" s="35" t="s">
        <v>88</v>
      </c>
      <c r="H22" s="36">
        <f>IF(C22="X",1)+IF(D22="X",2)+IF(E22="X",3)+IF(F22="X",4)+IF(G22="X",5)</f>
        <v>5</v>
      </c>
    </row>
    <row r="23" spans="1:8" ht="25.5" customHeight="1" x14ac:dyDescent="0.3">
      <c r="A23" s="31" t="s">
        <v>39</v>
      </c>
      <c r="B23" s="32" t="s">
        <v>40</v>
      </c>
      <c r="C23" s="29"/>
      <c r="D23" s="29"/>
      <c r="E23" s="29"/>
      <c r="F23" s="29" t="s">
        <v>88</v>
      </c>
      <c r="G23" s="35"/>
      <c r="H23" s="29">
        <f>IF(C23="X",1)+IF(D23="X",2)+IF(E23="X",3)+IF(F23="X",4)+IF(G23="X",5)</f>
        <v>4</v>
      </c>
    </row>
    <row r="24" spans="1:8" ht="25.5" customHeight="1" x14ac:dyDescent="0.3">
      <c r="A24" s="27" t="s">
        <v>41</v>
      </c>
      <c r="B24" s="28" t="s">
        <v>42</v>
      </c>
      <c r="C24" s="36"/>
      <c r="D24" s="36"/>
      <c r="E24" s="36"/>
      <c r="F24" s="36"/>
      <c r="G24" s="35" t="s">
        <v>88</v>
      </c>
      <c r="H24" s="36">
        <f>IF(C24="X",1)+IF(D24="X",2)+IF(E24="X",3)+IF(F24="X",4)+IF(G24="X",5)</f>
        <v>5</v>
      </c>
    </row>
    <row r="25" spans="1:8" ht="24" customHeight="1" x14ac:dyDescent="0.3">
      <c r="A25" s="24"/>
      <c r="B25" s="25" t="s">
        <v>43</v>
      </c>
      <c r="C25" s="24"/>
      <c r="D25" s="24"/>
      <c r="E25" s="24"/>
      <c r="F25" s="24"/>
      <c r="G25" s="24"/>
      <c r="H25" s="26">
        <f>AVERAGE(H21:H24)</f>
        <v>4.75</v>
      </c>
    </row>
    <row r="27" spans="1:8" ht="27.75" customHeight="1" x14ac:dyDescent="0.3">
      <c r="A27" s="23" t="s">
        <v>44</v>
      </c>
      <c r="B27" s="23"/>
      <c r="C27" s="23"/>
      <c r="D27" s="23"/>
      <c r="E27" s="23"/>
      <c r="F27" s="23"/>
      <c r="G27" s="23"/>
      <c r="H27" s="23"/>
    </row>
    <row r="28" spans="1:8" ht="33.75" customHeight="1" x14ac:dyDescent="0.3">
      <c r="A28" s="34" t="s">
        <v>20</v>
      </c>
      <c r="B28" s="34" t="s">
        <v>21</v>
      </c>
      <c r="C28" s="12" t="s">
        <v>131</v>
      </c>
      <c r="D28" s="12" t="s">
        <v>132</v>
      </c>
      <c r="E28" s="12" t="s">
        <v>133</v>
      </c>
      <c r="F28" s="12" t="s">
        <v>134</v>
      </c>
      <c r="G28" s="12" t="s">
        <v>135</v>
      </c>
      <c r="H28" s="34" t="s">
        <v>22</v>
      </c>
    </row>
    <row r="29" spans="1:8" ht="25.5" customHeight="1" x14ac:dyDescent="0.3">
      <c r="A29" s="31" t="s">
        <v>45</v>
      </c>
      <c r="B29" s="32" t="s">
        <v>46</v>
      </c>
      <c r="C29" s="29"/>
      <c r="D29" s="29"/>
      <c r="E29" s="29"/>
      <c r="F29" s="29"/>
      <c r="G29" s="35" t="s">
        <v>88</v>
      </c>
      <c r="H29" s="29">
        <f>IF(C29="X",1)+IF(D29="X",2)+IF(E29="X",3)+IF(F29="X",4)+IF(G29="X",5)</f>
        <v>5</v>
      </c>
    </row>
    <row r="30" spans="1:8" ht="25.5" customHeight="1" x14ac:dyDescent="0.3">
      <c r="A30" s="27" t="s">
        <v>47</v>
      </c>
      <c r="B30" s="28" t="s">
        <v>48</v>
      </c>
      <c r="C30" s="36"/>
      <c r="D30" s="36"/>
      <c r="E30" s="36"/>
      <c r="F30" s="36"/>
      <c r="G30" s="35" t="s">
        <v>88</v>
      </c>
      <c r="H30" s="36">
        <f>IF(C30="X",1)+IF(D30="X",2)+IF(E30="X",3)+IF(F30="X",4)+IF(G30="X",5)</f>
        <v>5</v>
      </c>
    </row>
    <row r="31" spans="1:8" ht="25.5" customHeight="1" x14ac:dyDescent="0.3">
      <c r="A31" s="31" t="s">
        <v>49</v>
      </c>
      <c r="B31" s="32" t="s">
        <v>50</v>
      </c>
      <c r="C31" s="29"/>
      <c r="D31" s="29"/>
      <c r="E31" s="29"/>
      <c r="F31" s="29" t="s">
        <v>88</v>
      </c>
      <c r="G31" s="35"/>
      <c r="H31" s="29">
        <f>IF(C31="X",1)+IF(D31="X",2)+IF(E31="X",3)+IF(F31="X",4)+IF(G31="X",5)</f>
        <v>4</v>
      </c>
    </row>
    <row r="32" spans="1:8" ht="25.5" customHeight="1" x14ac:dyDescent="0.3">
      <c r="A32" s="27" t="s">
        <v>51</v>
      </c>
      <c r="B32" s="28" t="s">
        <v>52</v>
      </c>
      <c r="C32" s="36"/>
      <c r="D32" s="36"/>
      <c r="E32" s="36"/>
      <c r="F32" s="36"/>
      <c r="G32" s="35" t="s">
        <v>88</v>
      </c>
      <c r="H32" s="36">
        <f>IF(C32="X",1)+IF(D32="X",2)+IF(E32="X",3)+IF(F32="X",4)+IF(G32="X",5)</f>
        <v>5</v>
      </c>
    </row>
    <row r="33" spans="1:8" ht="24" customHeight="1" x14ac:dyDescent="0.3">
      <c r="A33" s="24"/>
      <c r="B33" s="25" t="s">
        <v>53</v>
      </c>
      <c r="C33" s="24"/>
      <c r="D33" s="24"/>
      <c r="E33" s="24"/>
      <c r="F33" s="24"/>
      <c r="G33" s="24"/>
      <c r="H33" s="26">
        <f>AVERAGE(H29:H32)</f>
        <v>4.75</v>
      </c>
    </row>
    <row r="35" spans="1:8" ht="27.75" customHeight="1" x14ac:dyDescent="0.3">
      <c r="A35" s="23" t="s">
        <v>54</v>
      </c>
      <c r="B35" s="23"/>
      <c r="C35" s="23"/>
      <c r="D35" s="23"/>
      <c r="E35" s="23"/>
      <c r="F35" s="23"/>
      <c r="G35" s="23"/>
      <c r="H35" s="23"/>
    </row>
    <row r="36" spans="1:8" ht="33.75" customHeight="1" x14ac:dyDescent="0.3">
      <c r="A36" s="34" t="s">
        <v>20</v>
      </c>
      <c r="B36" s="34" t="s">
        <v>21</v>
      </c>
      <c r="C36" s="12" t="s">
        <v>131</v>
      </c>
      <c r="D36" s="12" t="s">
        <v>132</v>
      </c>
      <c r="E36" s="12" t="s">
        <v>133</v>
      </c>
      <c r="F36" s="12" t="s">
        <v>134</v>
      </c>
      <c r="G36" s="12" t="s">
        <v>135</v>
      </c>
      <c r="H36" s="34" t="s">
        <v>22</v>
      </c>
    </row>
    <row r="37" spans="1:8" ht="25.5" customHeight="1" x14ac:dyDescent="0.3">
      <c r="A37" s="31" t="s">
        <v>55</v>
      </c>
      <c r="B37" s="32" t="s">
        <v>56</v>
      </c>
      <c r="C37" s="29"/>
      <c r="D37" s="29"/>
      <c r="E37" s="29"/>
      <c r="F37" s="35"/>
      <c r="G37" s="29" t="s">
        <v>88</v>
      </c>
      <c r="H37" s="29">
        <f>IF(C37="X",1)+IF(D37="X",2)+IF(E37="X",3)+IF(F37="X",4)+IF(G37="X",5)</f>
        <v>5</v>
      </c>
    </row>
    <row r="38" spans="1:8" ht="25.5" customHeight="1" x14ac:dyDescent="0.3">
      <c r="A38" s="27" t="s">
        <v>57</v>
      </c>
      <c r="B38" s="28" t="s">
        <v>58</v>
      </c>
      <c r="C38" s="36"/>
      <c r="D38" s="36"/>
      <c r="E38" s="36" t="s">
        <v>88</v>
      </c>
      <c r="F38" s="35"/>
      <c r="G38" s="36"/>
      <c r="H38" s="36">
        <f>IF(C38="X",1)+IF(D38="X",2)+IF(E38="X",3)+IF(F38="X",4)+IF(G38="X",5)</f>
        <v>3</v>
      </c>
    </row>
    <row r="39" spans="1:8" ht="25.5" customHeight="1" x14ac:dyDescent="0.3">
      <c r="A39" s="31" t="s">
        <v>59</v>
      </c>
      <c r="B39" s="32" t="s">
        <v>60</v>
      </c>
      <c r="C39" s="29"/>
      <c r="D39" s="29"/>
      <c r="E39" s="29"/>
      <c r="F39" s="35"/>
      <c r="G39" s="29" t="s">
        <v>88</v>
      </c>
      <c r="H39" s="29">
        <f>IF(C39="X",1)+IF(D39="X",2)+IF(E39="X",3)+IF(F39="X",4)+IF(G39="X",5)</f>
        <v>5</v>
      </c>
    </row>
    <row r="40" spans="1:8" ht="25.5" customHeight="1" x14ac:dyDescent="0.3">
      <c r="A40" s="27" t="s">
        <v>61</v>
      </c>
      <c r="B40" s="28" t="s">
        <v>62</v>
      </c>
      <c r="C40" s="36"/>
      <c r="D40" s="36"/>
      <c r="E40" s="36" t="s">
        <v>88</v>
      </c>
      <c r="F40" s="36"/>
      <c r="G40" s="35"/>
      <c r="H40" s="36">
        <f>IF(C40="X",1)+IF(D40="X",2)+IF(E40="X",3)+IF(F40="X",4)+IF(G40="X",5)</f>
        <v>3</v>
      </c>
    </row>
    <row r="41" spans="1:8" ht="24" customHeight="1" x14ac:dyDescent="0.3">
      <c r="A41" s="24"/>
      <c r="B41" s="25" t="s">
        <v>63</v>
      </c>
      <c r="C41" s="24"/>
      <c r="D41" s="24"/>
      <c r="E41" s="24"/>
      <c r="F41" s="24"/>
      <c r="G41" s="24"/>
      <c r="H41" s="26">
        <f>AVERAGE(H37:H40)</f>
        <v>4</v>
      </c>
    </row>
    <row r="43" spans="1:8" ht="27.75" customHeight="1" x14ac:dyDescent="0.3">
      <c r="A43" s="23" t="s">
        <v>64</v>
      </c>
      <c r="B43" s="23"/>
      <c r="C43" s="23"/>
      <c r="D43" s="23"/>
      <c r="E43" s="23"/>
      <c r="F43" s="23"/>
      <c r="G43" s="23"/>
      <c r="H43" s="23"/>
    </row>
    <row r="44" spans="1:8" ht="30" customHeight="1" x14ac:dyDescent="0.3">
      <c r="A44" s="27" t="s">
        <v>65</v>
      </c>
      <c r="B44" s="28" t="s">
        <v>66</v>
      </c>
      <c r="C44" s="38" t="s">
        <v>116</v>
      </c>
      <c r="D44" s="38"/>
      <c r="E44" s="38"/>
      <c r="F44" s="38"/>
      <c r="G44" s="38"/>
      <c r="H44" s="38"/>
    </row>
    <row r="45" spans="1:8" ht="30" customHeight="1" x14ac:dyDescent="0.3">
      <c r="A45" s="31" t="s">
        <v>67</v>
      </c>
      <c r="B45" s="32" t="s">
        <v>68</v>
      </c>
      <c r="C45" s="37" t="s">
        <v>117</v>
      </c>
      <c r="D45" s="37"/>
      <c r="E45" s="37"/>
      <c r="F45" s="37"/>
      <c r="G45" s="37"/>
      <c r="H45" s="37"/>
    </row>
    <row r="46" spans="1:8" ht="30" customHeight="1" x14ac:dyDescent="0.3">
      <c r="A46" s="27" t="s">
        <v>69</v>
      </c>
      <c r="B46" s="28" t="s">
        <v>70</v>
      </c>
      <c r="C46" s="38" t="s">
        <v>106</v>
      </c>
      <c r="D46" s="38"/>
      <c r="E46" s="38"/>
      <c r="F46" s="38"/>
      <c r="G46" s="38"/>
      <c r="H46" s="38"/>
    </row>
    <row r="47" spans="1:8" ht="30" customHeight="1" x14ac:dyDescent="0.3">
      <c r="A47" s="31" t="s">
        <v>71</v>
      </c>
      <c r="B47" s="32" t="s">
        <v>72</v>
      </c>
      <c r="C47" s="37" t="s">
        <v>100</v>
      </c>
      <c r="D47" s="37"/>
      <c r="E47" s="37"/>
      <c r="F47" s="37"/>
      <c r="G47" s="37"/>
      <c r="H47" s="37"/>
    </row>
    <row r="48" spans="1:8" ht="30" customHeight="1" x14ac:dyDescent="0.3">
      <c r="A48" s="27" t="s">
        <v>73</v>
      </c>
      <c r="B48" s="28" t="s">
        <v>74</v>
      </c>
      <c r="C48" s="38" t="s">
        <v>101</v>
      </c>
      <c r="D48" s="38"/>
      <c r="E48" s="38"/>
      <c r="F48" s="38"/>
      <c r="G48" s="38"/>
      <c r="H48" s="38"/>
    </row>
    <row r="49" spans="1:8" ht="30" customHeight="1" x14ac:dyDescent="0.3">
      <c r="A49" s="31" t="s">
        <v>75</v>
      </c>
      <c r="B49" s="32" t="s">
        <v>76</v>
      </c>
      <c r="C49" s="37" t="s">
        <v>100</v>
      </c>
      <c r="D49" s="37"/>
      <c r="E49" s="37"/>
      <c r="F49" s="37"/>
      <c r="G49" s="37"/>
      <c r="H49" s="37"/>
    </row>
    <row r="51" spans="1:8" ht="27.75" customHeight="1" x14ac:dyDescent="0.3">
      <c r="A51" s="23" t="s">
        <v>77</v>
      </c>
      <c r="B51" s="23"/>
      <c r="C51" s="23"/>
      <c r="D51" s="23"/>
      <c r="E51" s="23"/>
      <c r="F51" s="23"/>
      <c r="G51" s="23"/>
      <c r="H51" s="23"/>
    </row>
    <row r="52" spans="1:8" ht="31.5" customHeight="1" x14ac:dyDescent="0.3">
      <c r="A52" s="27" t="s">
        <v>78</v>
      </c>
      <c r="B52" s="28" t="s">
        <v>79</v>
      </c>
      <c r="C52" s="38" t="s">
        <v>98</v>
      </c>
      <c r="D52" s="38"/>
      <c r="E52" s="38"/>
      <c r="F52" s="38"/>
      <c r="G52" s="38"/>
      <c r="H52" s="38"/>
    </row>
    <row r="53" spans="1:8" ht="31.5" customHeight="1" x14ac:dyDescent="0.3">
      <c r="A53" s="31" t="s">
        <v>80</v>
      </c>
      <c r="B53" s="32" t="s">
        <v>81</v>
      </c>
      <c r="C53" s="37" t="s">
        <v>118</v>
      </c>
      <c r="D53" s="37"/>
      <c r="E53" s="37"/>
      <c r="F53" s="37"/>
      <c r="G53" s="37"/>
      <c r="H53" s="37"/>
    </row>
    <row r="54" spans="1:8" ht="31.5" customHeight="1" x14ac:dyDescent="0.3">
      <c r="A54" s="27" t="s">
        <v>82</v>
      </c>
      <c r="B54" s="28" t="s">
        <v>83</v>
      </c>
      <c r="C54" s="38" t="s">
        <v>162</v>
      </c>
      <c r="D54" s="38"/>
      <c r="E54" s="38"/>
      <c r="F54" s="38"/>
      <c r="G54" s="38"/>
      <c r="H54" s="38"/>
    </row>
    <row r="55" spans="1:8" ht="31.5" customHeight="1" x14ac:dyDescent="0.3">
      <c r="A55" s="31" t="s">
        <v>84</v>
      </c>
      <c r="B55" s="32" t="s">
        <v>85</v>
      </c>
      <c r="C55" s="37" t="s">
        <v>163</v>
      </c>
      <c r="D55" s="37"/>
      <c r="E55" s="37"/>
      <c r="F55" s="37"/>
      <c r="G55" s="37"/>
      <c r="H55" s="37"/>
    </row>
    <row r="56" spans="1:8" ht="31.5" customHeight="1" x14ac:dyDescent="0.3">
      <c r="A56" s="27" t="s">
        <v>86</v>
      </c>
      <c r="B56" s="28" t="s">
        <v>87</v>
      </c>
      <c r="C56" s="38" t="s">
        <v>119</v>
      </c>
      <c r="D56" s="38"/>
      <c r="E56" s="38"/>
      <c r="F56" s="38"/>
      <c r="G56" s="38"/>
      <c r="H56" s="38"/>
    </row>
  </sheetData>
  <mergeCells count="19">
    <mergeCell ref="C53:H53"/>
    <mergeCell ref="C54:H54"/>
    <mergeCell ref="C55:H55"/>
    <mergeCell ref="C56:H56"/>
    <mergeCell ref="C47:H47"/>
    <mergeCell ref="C48:H48"/>
    <mergeCell ref="C49:H49"/>
    <mergeCell ref="A51:H51"/>
    <mergeCell ref="C52:H52"/>
    <mergeCell ref="A35:H35"/>
    <mergeCell ref="A43:H43"/>
    <mergeCell ref="C44:H44"/>
    <mergeCell ref="C45:H45"/>
    <mergeCell ref="C46:H46"/>
    <mergeCell ref="A1:H1"/>
    <mergeCell ref="A3:H3"/>
    <mergeCell ref="A10:H10"/>
    <mergeCell ref="A19:H19"/>
    <mergeCell ref="A27:H27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6"/>
  <sheetViews>
    <sheetView showGridLines="0" zoomScaleNormal="100" workbookViewId="0">
      <pane ySplit="2" topLeftCell="A3" activePane="bottomLeft" state="frozen"/>
      <selection pane="bottomLeft" activeCell="J20" sqref="J20"/>
    </sheetView>
  </sheetViews>
  <sheetFormatPr defaultColWidth="8.6640625" defaultRowHeight="14.4" x14ac:dyDescent="0.3"/>
  <cols>
    <col min="1" max="1" width="10" style="4" customWidth="1"/>
    <col min="2" max="2" width="62" style="4" customWidth="1"/>
    <col min="3" max="7" width="15" style="4" customWidth="1"/>
    <col min="8" max="8" width="10" style="4" customWidth="1"/>
    <col min="9" max="16384" width="8.6640625" style="4"/>
  </cols>
  <sheetData>
    <row r="1" spans="1:8" ht="31.5" customHeight="1" x14ac:dyDescent="0.3">
      <c r="A1" s="21" t="s">
        <v>191</v>
      </c>
      <c r="B1" s="21"/>
      <c r="C1" s="21"/>
      <c r="D1" s="21"/>
      <c r="E1" s="21"/>
      <c r="F1" s="21"/>
      <c r="G1" s="21"/>
      <c r="H1" s="21"/>
    </row>
    <row r="3" spans="1:8" ht="27.75" customHeight="1" x14ac:dyDescent="0.3">
      <c r="A3" s="5" t="s">
        <v>0</v>
      </c>
      <c r="B3" s="5"/>
      <c r="C3" s="5"/>
      <c r="D3" s="5"/>
      <c r="E3" s="5"/>
      <c r="F3" s="5"/>
      <c r="G3" s="5"/>
      <c r="H3" s="5"/>
    </row>
    <row r="4" spans="1:8" ht="24" customHeight="1" x14ac:dyDescent="0.3">
      <c r="A4" s="6" t="s">
        <v>1</v>
      </c>
      <c r="B4" s="7" t="s">
        <v>2</v>
      </c>
      <c r="C4" s="3" t="s">
        <v>161</v>
      </c>
      <c r="D4" s="8" t="s">
        <v>4</v>
      </c>
      <c r="E4" s="8" t="s">
        <v>5</v>
      </c>
      <c r="F4" s="8" t="s">
        <v>6</v>
      </c>
    </row>
    <row r="5" spans="1:8" ht="24" customHeight="1" x14ac:dyDescent="0.3">
      <c r="A5" s="9" t="s">
        <v>7</v>
      </c>
      <c r="B5" s="10" t="s">
        <v>8</v>
      </c>
      <c r="C5" s="3" t="s">
        <v>136</v>
      </c>
      <c r="D5" s="8" t="s">
        <v>10</v>
      </c>
      <c r="E5" s="8" t="s">
        <v>11</v>
      </c>
      <c r="F5" s="8" t="s">
        <v>12</v>
      </c>
    </row>
    <row r="6" spans="1:8" ht="24" customHeight="1" x14ac:dyDescent="0.3">
      <c r="A6" s="6" t="s">
        <v>13</v>
      </c>
      <c r="B6" s="7" t="s">
        <v>14</v>
      </c>
      <c r="C6" s="13" t="s">
        <v>136</v>
      </c>
      <c r="D6" s="9" t="s">
        <v>10</v>
      </c>
      <c r="E6" s="8" t="s">
        <v>11</v>
      </c>
      <c r="F6" s="8" t="s">
        <v>12</v>
      </c>
    </row>
    <row r="7" spans="1:8" ht="24" customHeight="1" x14ac:dyDescent="0.3">
      <c r="A7" s="9" t="s">
        <v>15</v>
      </c>
      <c r="B7" s="10" t="s">
        <v>16</v>
      </c>
      <c r="C7" s="3" t="s">
        <v>154</v>
      </c>
      <c r="D7" s="8" t="s">
        <v>18</v>
      </c>
      <c r="E7" s="11"/>
      <c r="F7" s="11"/>
    </row>
    <row r="8" spans="1:8" x14ac:dyDescent="0.3">
      <c r="B8" s="39" t="s">
        <v>111</v>
      </c>
    </row>
    <row r="10" spans="1:8" ht="27.75" customHeight="1" x14ac:dyDescent="0.3">
      <c r="A10" s="5" t="s">
        <v>19</v>
      </c>
      <c r="B10" s="5"/>
      <c r="C10" s="5"/>
      <c r="D10" s="5"/>
      <c r="E10" s="5"/>
      <c r="F10" s="5"/>
      <c r="G10" s="5"/>
      <c r="H10" s="5"/>
    </row>
    <row r="11" spans="1:8" ht="33.75" customHeight="1" x14ac:dyDescent="0.3">
      <c r="A11" s="12" t="s">
        <v>20</v>
      </c>
      <c r="B11" s="12" t="s">
        <v>21</v>
      </c>
      <c r="C11" s="12" t="s">
        <v>131</v>
      </c>
      <c r="D11" s="12" t="s">
        <v>132</v>
      </c>
      <c r="E11" s="12" t="s">
        <v>133</v>
      </c>
      <c r="F11" s="12" t="s">
        <v>134</v>
      </c>
      <c r="G11" s="12" t="s">
        <v>135</v>
      </c>
      <c r="H11" s="12" t="s">
        <v>22</v>
      </c>
    </row>
    <row r="12" spans="1:8" ht="25.5" customHeight="1" x14ac:dyDescent="0.3">
      <c r="A12" s="6" t="s">
        <v>23</v>
      </c>
      <c r="B12" s="7" t="s">
        <v>24</v>
      </c>
      <c r="C12" s="14"/>
      <c r="D12" s="14"/>
      <c r="E12" s="14"/>
      <c r="F12" s="14"/>
      <c r="G12" s="13" t="s">
        <v>88</v>
      </c>
      <c r="H12" s="14">
        <f>IF(C12="X",1)+IF(D12="X",2)+IF(E12="X",3)+IF(F12="X",4)+IF(G12="X",5)</f>
        <v>5</v>
      </c>
    </row>
    <row r="13" spans="1:8" ht="25.5" customHeight="1" x14ac:dyDescent="0.3">
      <c r="A13" s="9" t="s">
        <v>25</v>
      </c>
      <c r="B13" s="10" t="s">
        <v>26</v>
      </c>
      <c r="C13" s="8"/>
      <c r="D13" s="8"/>
      <c r="E13" s="8"/>
      <c r="F13" s="8"/>
      <c r="G13" s="13" t="s">
        <v>88</v>
      </c>
      <c r="H13" s="8">
        <f>IF(C13="X",1)+IF(D13="X",2)+IF(E13="X",3)+IF(F13="X",4)+IF(G13="X",5)</f>
        <v>5</v>
      </c>
    </row>
    <row r="14" spans="1:8" ht="25.5" customHeight="1" x14ac:dyDescent="0.3">
      <c r="A14" s="6" t="s">
        <v>27</v>
      </c>
      <c r="B14" s="7" t="s">
        <v>28</v>
      </c>
      <c r="C14" s="14"/>
      <c r="D14" s="14"/>
      <c r="E14" s="14"/>
      <c r="F14" s="14"/>
      <c r="G14" s="13" t="s">
        <v>88</v>
      </c>
      <c r="H14" s="14">
        <f>IF(C14="X",1)+IF(D14="X",2)+IF(E14="X",3)+IF(F14="X",4)+IF(G14="X",5)</f>
        <v>5</v>
      </c>
    </row>
    <row r="15" spans="1:8" ht="25.5" customHeight="1" x14ac:dyDescent="0.3">
      <c r="A15" s="9" t="s">
        <v>29</v>
      </c>
      <c r="B15" s="10" t="s">
        <v>30</v>
      </c>
      <c r="C15" s="8"/>
      <c r="D15" s="8"/>
      <c r="E15" s="8"/>
      <c r="F15" s="13" t="s">
        <v>88</v>
      </c>
      <c r="G15" s="8"/>
      <c r="H15" s="8">
        <f>IF(C15="X",1)+IF(D15="X",2)+IF(E15="X",3)+IF(F15="X",4)+IF(G15="X",5)</f>
        <v>4</v>
      </c>
    </row>
    <row r="16" spans="1:8" ht="25.5" customHeight="1" x14ac:dyDescent="0.3">
      <c r="A16" s="6" t="s">
        <v>31</v>
      </c>
      <c r="B16" s="7" t="s">
        <v>32</v>
      </c>
      <c r="C16" s="14"/>
      <c r="D16" s="14"/>
      <c r="E16" s="14"/>
      <c r="F16" s="14"/>
      <c r="G16" s="13" t="s">
        <v>88</v>
      </c>
      <c r="H16" s="14">
        <f>IF(C16="X",1)+IF(D16="X",2)+IF(E16="X",3)+IF(F16="X",4)+IF(G16="X",5)</f>
        <v>5</v>
      </c>
    </row>
    <row r="17" spans="1:8" ht="24" customHeight="1" x14ac:dyDescent="0.3">
      <c r="A17" s="15"/>
      <c r="B17" s="16" t="s">
        <v>33</v>
      </c>
      <c r="C17" s="15"/>
      <c r="D17" s="15"/>
      <c r="E17" s="15"/>
      <c r="F17" s="15"/>
      <c r="G17" s="15"/>
      <c r="H17" s="17">
        <f>AVERAGE(H12:H16)</f>
        <v>4.8</v>
      </c>
    </row>
    <row r="19" spans="1:8" ht="27.75" customHeight="1" x14ac:dyDescent="0.3">
      <c r="A19" s="5" t="s">
        <v>34</v>
      </c>
      <c r="B19" s="5"/>
      <c r="C19" s="5"/>
      <c r="D19" s="5"/>
      <c r="E19" s="5"/>
      <c r="F19" s="5"/>
      <c r="G19" s="5"/>
      <c r="H19" s="5"/>
    </row>
    <row r="20" spans="1:8" ht="33.75" customHeight="1" x14ac:dyDescent="0.3">
      <c r="A20" s="12" t="s">
        <v>20</v>
      </c>
      <c r="B20" s="12" t="s">
        <v>21</v>
      </c>
      <c r="C20" s="12" t="s">
        <v>131</v>
      </c>
      <c r="D20" s="12" t="s">
        <v>132</v>
      </c>
      <c r="E20" s="12" t="s">
        <v>133</v>
      </c>
      <c r="F20" s="12" t="s">
        <v>134</v>
      </c>
      <c r="G20" s="12" t="s">
        <v>135</v>
      </c>
      <c r="H20" s="12" t="s">
        <v>22</v>
      </c>
    </row>
    <row r="21" spans="1:8" ht="25.5" customHeight="1" x14ac:dyDescent="0.3">
      <c r="A21" s="9" t="s">
        <v>35</v>
      </c>
      <c r="B21" s="10" t="s">
        <v>36</v>
      </c>
      <c r="C21" s="8"/>
      <c r="D21" s="8"/>
      <c r="E21" s="8"/>
      <c r="F21" s="8"/>
      <c r="G21" s="13" t="s">
        <v>88</v>
      </c>
      <c r="H21" s="8">
        <f>IF(C21="X",1)+IF(D21="X",2)+IF(E21="X",3)+IF(F21="X",4)+IF(G21="X",5)</f>
        <v>5</v>
      </c>
    </row>
    <row r="22" spans="1:8" ht="25.5" customHeight="1" x14ac:dyDescent="0.3">
      <c r="A22" s="6" t="s">
        <v>37</v>
      </c>
      <c r="B22" s="7" t="s">
        <v>38</v>
      </c>
      <c r="C22" s="14"/>
      <c r="D22" s="14"/>
      <c r="E22" s="14"/>
      <c r="F22" s="14"/>
      <c r="G22" s="13" t="s">
        <v>88</v>
      </c>
      <c r="H22" s="14">
        <f>IF(C22="X",1)+IF(D22="X",2)+IF(E22="X",3)+IF(F22="X",4)+IF(G22="X",5)</f>
        <v>5</v>
      </c>
    </row>
    <row r="23" spans="1:8" ht="25.5" customHeight="1" x14ac:dyDescent="0.3">
      <c r="A23" s="9" t="s">
        <v>39</v>
      </c>
      <c r="B23" s="10" t="s">
        <v>40</v>
      </c>
      <c r="C23" s="8"/>
      <c r="D23" s="8"/>
      <c r="E23" s="8"/>
      <c r="F23" s="13" t="s">
        <v>88</v>
      </c>
      <c r="G23" s="8"/>
      <c r="H23" s="8">
        <f>IF(C23="X",1)+IF(D23="X",2)+IF(E23="X",3)+IF(F23="X",4)+IF(G23="X",5)</f>
        <v>4</v>
      </c>
    </row>
    <row r="24" spans="1:8" ht="25.5" customHeight="1" x14ac:dyDescent="0.3">
      <c r="A24" s="6" t="s">
        <v>41</v>
      </c>
      <c r="B24" s="7" t="s">
        <v>42</v>
      </c>
      <c r="C24" s="14"/>
      <c r="D24" s="14"/>
      <c r="E24" s="14"/>
      <c r="F24" s="14"/>
      <c r="G24" s="13" t="s">
        <v>88</v>
      </c>
      <c r="H24" s="14">
        <f>IF(C24="X",1)+IF(D24="X",2)+IF(E24="X",3)+IF(F24="X",4)+IF(G24="X",5)</f>
        <v>5</v>
      </c>
    </row>
    <row r="25" spans="1:8" ht="24" customHeight="1" x14ac:dyDescent="0.3">
      <c r="A25" s="15"/>
      <c r="B25" s="16" t="s">
        <v>43</v>
      </c>
      <c r="C25" s="15"/>
      <c r="D25" s="15"/>
      <c r="E25" s="15"/>
      <c r="F25" s="15"/>
      <c r="G25" s="15"/>
      <c r="H25" s="17">
        <f>AVERAGE(H21:H24)</f>
        <v>4.75</v>
      </c>
    </row>
    <row r="27" spans="1:8" ht="27.75" customHeight="1" x14ac:dyDescent="0.3">
      <c r="A27" s="5" t="s">
        <v>44</v>
      </c>
      <c r="B27" s="5"/>
      <c r="C27" s="5"/>
      <c r="D27" s="5"/>
      <c r="E27" s="5"/>
      <c r="F27" s="5"/>
      <c r="G27" s="5"/>
      <c r="H27" s="5"/>
    </row>
    <row r="28" spans="1:8" ht="33.75" customHeight="1" x14ac:dyDescent="0.3">
      <c r="A28" s="12" t="s">
        <v>20</v>
      </c>
      <c r="B28" s="12" t="s">
        <v>21</v>
      </c>
      <c r="C28" s="12" t="s">
        <v>131</v>
      </c>
      <c r="D28" s="12" t="s">
        <v>132</v>
      </c>
      <c r="E28" s="12" t="s">
        <v>133</v>
      </c>
      <c r="F28" s="12" t="s">
        <v>134</v>
      </c>
      <c r="G28" s="12" t="s">
        <v>135</v>
      </c>
      <c r="H28" s="12" t="s">
        <v>22</v>
      </c>
    </row>
    <row r="29" spans="1:8" ht="25.5" customHeight="1" x14ac:dyDescent="0.3">
      <c r="A29" s="9" t="s">
        <v>45</v>
      </c>
      <c r="B29" s="10" t="s">
        <v>46</v>
      </c>
      <c r="C29" s="8"/>
      <c r="D29" s="8"/>
      <c r="E29" s="8"/>
      <c r="F29" s="8"/>
      <c r="G29" s="13" t="s">
        <v>88</v>
      </c>
      <c r="H29" s="8">
        <f>IF(C29="X",1)+IF(D29="X",2)+IF(E29="X",3)+IF(F29="X",4)+IF(G29="X",5)</f>
        <v>5</v>
      </c>
    </row>
    <row r="30" spans="1:8" ht="25.5" customHeight="1" x14ac:dyDescent="0.3">
      <c r="A30" s="6" t="s">
        <v>47</v>
      </c>
      <c r="B30" s="7" t="s">
        <v>48</v>
      </c>
      <c r="C30" s="14"/>
      <c r="D30" s="14"/>
      <c r="E30" s="14"/>
      <c r="F30" s="14"/>
      <c r="G30" s="13" t="s">
        <v>88</v>
      </c>
      <c r="H30" s="14">
        <f>IF(C30="X",1)+IF(D30="X",2)+IF(E30="X",3)+IF(F30="X",4)+IF(G30="X",5)</f>
        <v>5</v>
      </c>
    </row>
    <row r="31" spans="1:8" ht="25.5" customHeight="1" x14ac:dyDescent="0.3">
      <c r="A31" s="9" t="s">
        <v>49</v>
      </c>
      <c r="B31" s="10" t="s">
        <v>50</v>
      </c>
      <c r="C31" s="8"/>
      <c r="D31" s="8"/>
      <c r="E31" s="8"/>
      <c r="F31" s="8"/>
      <c r="G31" s="13" t="s">
        <v>88</v>
      </c>
      <c r="H31" s="8">
        <f>IF(C31="X",1)+IF(D31="X",2)+IF(E31="X",3)+IF(F31="X",4)+IF(G31="X",5)</f>
        <v>5</v>
      </c>
    </row>
    <row r="32" spans="1:8" ht="25.5" customHeight="1" x14ac:dyDescent="0.3">
      <c r="A32" s="6" t="s">
        <v>51</v>
      </c>
      <c r="B32" s="7" t="s">
        <v>52</v>
      </c>
      <c r="C32" s="14"/>
      <c r="D32" s="14"/>
      <c r="E32" s="14"/>
      <c r="F32" s="14"/>
      <c r="G32" s="13" t="s">
        <v>88</v>
      </c>
      <c r="H32" s="14">
        <f>IF(C32="X",1)+IF(D32="X",2)+IF(E32="X",3)+IF(F32="X",4)+IF(G32="X",5)</f>
        <v>5</v>
      </c>
    </row>
    <row r="33" spans="1:8" ht="24" customHeight="1" x14ac:dyDescent="0.3">
      <c r="A33" s="15"/>
      <c r="B33" s="16" t="s">
        <v>53</v>
      </c>
      <c r="C33" s="15"/>
      <c r="D33" s="15"/>
      <c r="E33" s="15"/>
      <c r="F33" s="15"/>
      <c r="G33" s="15"/>
      <c r="H33" s="17">
        <f>AVERAGE(H29:H32)</f>
        <v>5</v>
      </c>
    </row>
    <row r="35" spans="1:8" ht="27.75" customHeight="1" x14ac:dyDescent="0.3">
      <c r="A35" s="5" t="s">
        <v>54</v>
      </c>
      <c r="B35" s="5"/>
      <c r="C35" s="5"/>
      <c r="D35" s="5"/>
      <c r="E35" s="5"/>
      <c r="F35" s="5"/>
      <c r="G35" s="5"/>
      <c r="H35" s="5"/>
    </row>
    <row r="36" spans="1:8" ht="33.75" customHeight="1" x14ac:dyDescent="0.3">
      <c r="A36" s="12" t="s">
        <v>20</v>
      </c>
      <c r="B36" s="12" t="s">
        <v>21</v>
      </c>
      <c r="C36" s="12" t="s">
        <v>131</v>
      </c>
      <c r="D36" s="12" t="s">
        <v>132</v>
      </c>
      <c r="E36" s="12" t="s">
        <v>133</v>
      </c>
      <c r="F36" s="12" t="s">
        <v>134</v>
      </c>
      <c r="G36" s="12" t="s">
        <v>135</v>
      </c>
      <c r="H36" s="12" t="s">
        <v>22</v>
      </c>
    </row>
    <row r="37" spans="1:8" ht="25.5" customHeight="1" x14ac:dyDescent="0.3">
      <c r="A37" s="9" t="s">
        <v>55</v>
      </c>
      <c r="B37" s="10" t="s">
        <v>56</v>
      </c>
      <c r="C37" s="8"/>
      <c r="D37" s="8"/>
      <c r="E37" s="8"/>
      <c r="F37" s="13" t="s">
        <v>88</v>
      </c>
      <c r="G37" s="8"/>
      <c r="H37" s="8">
        <f>IF(C37="X",1)+IF(D37="X",2)+IF(E37="X",3)+IF(F37="X",4)+IF(G37="X",5)</f>
        <v>4</v>
      </c>
    </row>
    <row r="38" spans="1:8" ht="25.5" customHeight="1" x14ac:dyDescent="0.3">
      <c r="A38" s="6" t="s">
        <v>57</v>
      </c>
      <c r="B38" s="7" t="s">
        <v>58</v>
      </c>
      <c r="C38" s="14"/>
      <c r="D38" s="14"/>
      <c r="E38" s="14"/>
      <c r="F38" s="14" t="s">
        <v>88</v>
      </c>
      <c r="G38" s="13"/>
      <c r="H38" s="14">
        <f>IF(C38="X",1)+IF(D38="X",2)+IF(E38="X",3)+IF(F38="X",4)+IF(G38="X",5)</f>
        <v>4</v>
      </c>
    </row>
    <row r="39" spans="1:8" ht="25.5" customHeight="1" x14ac:dyDescent="0.3">
      <c r="A39" s="9" t="s">
        <v>59</v>
      </c>
      <c r="B39" s="10" t="s">
        <v>60</v>
      </c>
      <c r="C39" s="8"/>
      <c r="D39" s="8"/>
      <c r="E39" s="8"/>
      <c r="F39" s="13" t="s">
        <v>88</v>
      </c>
      <c r="G39" s="8"/>
      <c r="H39" s="8">
        <f>IF(C39="X",1)+IF(D39="X",2)+IF(E39="X",3)+IF(F39="X",4)+IF(G39="X",5)</f>
        <v>4</v>
      </c>
    </row>
    <row r="40" spans="1:8" ht="25.5" customHeight="1" x14ac:dyDescent="0.3">
      <c r="A40" s="6" t="s">
        <v>61</v>
      </c>
      <c r="B40" s="7" t="s">
        <v>62</v>
      </c>
      <c r="C40" s="14"/>
      <c r="D40" s="14"/>
      <c r="E40" s="14"/>
      <c r="F40" s="13" t="s">
        <v>88</v>
      </c>
      <c r="G40" s="14"/>
      <c r="H40" s="14">
        <f>IF(C40="X",1)+IF(D40="X",2)+IF(E40="X",3)+IF(F40="X",4)+IF(G40="X",5)</f>
        <v>4</v>
      </c>
    </row>
    <row r="41" spans="1:8" ht="24" customHeight="1" x14ac:dyDescent="0.3">
      <c r="A41" s="15"/>
      <c r="B41" s="16" t="s">
        <v>63</v>
      </c>
      <c r="C41" s="15"/>
      <c r="D41" s="15"/>
      <c r="E41" s="15"/>
      <c r="F41" s="15"/>
      <c r="G41" s="15"/>
      <c r="H41" s="17">
        <f>AVERAGE(H37:H40)</f>
        <v>4</v>
      </c>
    </row>
    <row r="43" spans="1:8" ht="27.75" customHeight="1" x14ac:dyDescent="0.3">
      <c r="A43" s="5" t="s">
        <v>64</v>
      </c>
      <c r="B43" s="5"/>
      <c r="C43" s="5"/>
      <c r="D43" s="5"/>
      <c r="E43" s="5"/>
      <c r="F43" s="5"/>
      <c r="G43" s="5"/>
      <c r="H43" s="5"/>
    </row>
    <row r="44" spans="1:8" ht="30" customHeight="1" x14ac:dyDescent="0.3">
      <c r="A44" s="6" t="s">
        <v>65</v>
      </c>
      <c r="B44" s="7" t="s">
        <v>66</v>
      </c>
      <c r="C44" s="19" t="s">
        <v>116</v>
      </c>
      <c r="D44" s="19"/>
      <c r="E44" s="19"/>
      <c r="F44" s="19"/>
      <c r="G44" s="19"/>
      <c r="H44" s="19"/>
    </row>
    <row r="45" spans="1:8" ht="30" customHeight="1" x14ac:dyDescent="0.3">
      <c r="A45" s="9" t="s">
        <v>67</v>
      </c>
      <c r="B45" s="10" t="s">
        <v>68</v>
      </c>
      <c r="C45" s="18" t="s">
        <v>120</v>
      </c>
      <c r="D45" s="18"/>
      <c r="E45" s="18"/>
      <c r="F45" s="18"/>
      <c r="G45" s="18"/>
      <c r="H45" s="18"/>
    </row>
    <row r="46" spans="1:8" ht="30" customHeight="1" x14ac:dyDescent="0.3">
      <c r="A46" s="6" t="s">
        <v>69</v>
      </c>
      <c r="B46" s="7" t="s">
        <v>70</v>
      </c>
      <c r="C46" s="19" t="s">
        <v>106</v>
      </c>
      <c r="D46" s="19"/>
      <c r="E46" s="19"/>
      <c r="F46" s="19"/>
      <c r="G46" s="19"/>
      <c r="H46" s="19"/>
    </row>
    <row r="47" spans="1:8" ht="30" customHeight="1" x14ac:dyDescent="0.3">
      <c r="A47" s="9" t="s">
        <v>71</v>
      </c>
      <c r="B47" s="10" t="s">
        <v>72</v>
      </c>
      <c r="C47" s="18" t="s">
        <v>100</v>
      </c>
      <c r="D47" s="18"/>
      <c r="E47" s="18"/>
      <c r="F47" s="18"/>
      <c r="G47" s="18"/>
      <c r="H47" s="18"/>
    </row>
    <row r="48" spans="1:8" ht="30" customHeight="1" x14ac:dyDescent="0.3">
      <c r="A48" s="6" t="s">
        <v>73</v>
      </c>
      <c r="B48" s="7" t="s">
        <v>74</v>
      </c>
      <c r="C48" s="19" t="s">
        <v>101</v>
      </c>
      <c r="D48" s="19"/>
      <c r="E48" s="19"/>
      <c r="F48" s="19"/>
      <c r="G48" s="19"/>
      <c r="H48" s="19"/>
    </row>
    <row r="49" spans="1:8" ht="30" customHeight="1" x14ac:dyDescent="0.3">
      <c r="A49" s="9" t="s">
        <v>75</v>
      </c>
      <c r="B49" s="10" t="s">
        <v>76</v>
      </c>
      <c r="C49" s="18" t="s">
        <v>100</v>
      </c>
      <c r="D49" s="18"/>
      <c r="E49" s="18"/>
      <c r="F49" s="18"/>
      <c r="G49" s="18"/>
      <c r="H49" s="18"/>
    </row>
    <row r="51" spans="1:8" ht="27.75" customHeight="1" x14ac:dyDescent="0.3">
      <c r="A51" s="5" t="s">
        <v>77</v>
      </c>
      <c r="B51" s="5"/>
      <c r="C51" s="5"/>
      <c r="D51" s="5"/>
      <c r="E51" s="5"/>
      <c r="F51" s="5"/>
      <c r="G51" s="5"/>
      <c r="H51" s="5"/>
    </row>
    <row r="52" spans="1:8" ht="31.5" customHeight="1" x14ac:dyDescent="0.3">
      <c r="A52" s="6" t="s">
        <v>78</v>
      </c>
      <c r="B52" s="7" t="s">
        <v>79</v>
      </c>
      <c r="C52" s="19" t="s">
        <v>98</v>
      </c>
      <c r="D52" s="19"/>
      <c r="E52" s="19"/>
      <c r="F52" s="19"/>
      <c r="G52" s="19"/>
      <c r="H52" s="19"/>
    </row>
    <row r="53" spans="1:8" ht="31.5" customHeight="1" x14ac:dyDescent="0.3">
      <c r="A53" s="9" t="s">
        <v>80</v>
      </c>
      <c r="B53" s="10" t="s">
        <v>81</v>
      </c>
      <c r="C53" s="18" t="s">
        <v>118</v>
      </c>
      <c r="D53" s="18"/>
      <c r="E53" s="18"/>
      <c r="F53" s="18"/>
      <c r="G53" s="18"/>
      <c r="H53" s="18"/>
    </row>
    <row r="54" spans="1:8" ht="31.5" customHeight="1" x14ac:dyDescent="0.3">
      <c r="A54" s="6" t="s">
        <v>82</v>
      </c>
      <c r="B54" s="7" t="s">
        <v>83</v>
      </c>
      <c r="C54" s="19" t="s">
        <v>164</v>
      </c>
      <c r="D54" s="19"/>
      <c r="E54" s="19"/>
      <c r="F54" s="19"/>
      <c r="G54" s="19"/>
      <c r="H54" s="19"/>
    </row>
    <row r="55" spans="1:8" ht="31.5" customHeight="1" x14ac:dyDescent="0.3">
      <c r="A55" s="9" t="s">
        <v>84</v>
      </c>
      <c r="B55" s="10" t="s">
        <v>85</v>
      </c>
      <c r="C55" s="18" t="s">
        <v>121</v>
      </c>
      <c r="D55" s="18"/>
      <c r="E55" s="18"/>
      <c r="F55" s="18"/>
      <c r="G55" s="18"/>
      <c r="H55" s="18"/>
    </row>
    <row r="56" spans="1:8" ht="31.5" customHeight="1" x14ac:dyDescent="0.3">
      <c r="A56" s="6" t="s">
        <v>86</v>
      </c>
      <c r="B56" s="7" t="s">
        <v>87</v>
      </c>
      <c r="C56" s="19" t="s">
        <v>122</v>
      </c>
      <c r="D56" s="19"/>
      <c r="E56" s="19"/>
      <c r="F56" s="19"/>
      <c r="G56" s="19"/>
      <c r="H56" s="19"/>
    </row>
  </sheetData>
  <mergeCells count="19">
    <mergeCell ref="C53:H53"/>
    <mergeCell ref="C54:H54"/>
    <mergeCell ref="C55:H55"/>
    <mergeCell ref="C56:H56"/>
    <mergeCell ref="C47:H47"/>
    <mergeCell ref="C48:H48"/>
    <mergeCell ref="C49:H49"/>
    <mergeCell ref="A51:H51"/>
    <mergeCell ref="C52:H52"/>
    <mergeCell ref="A35:H35"/>
    <mergeCell ref="A43:H43"/>
    <mergeCell ref="C44:H44"/>
    <mergeCell ref="C45:H45"/>
    <mergeCell ref="C46:H46"/>
    <mergeCell ref="A1:H1"/>
    <mergeCell ref="A3:H3"/>
    <mergeCell ref="A10:H10"/>
    <mergeCell ref="A19:H19"/>
    <mergeCell ref="A27:H27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6"/>
  <sheetViews>
    <sheetView showGridLines="0" zoomScaleNormal="100" workbookViewId="0">
      <pane ySplit="2" topLeftCell="A13" activePane="bottomLeft" state="frozen"/>
      <selection pane="bottomLeft" activeCell="L17" sqref="L17"/>
    </sheetView>
  </sheetViews>
  <sheetFormatPr defaultColWidth="8.6640625" defaultRowHeight="14.4" x14ac:dyDescent="0.3"/>
  <cols>
    <col min="1" max="1" width="10" style="4" customWidth="1"/>
    <col min="2" max="2" width="62" style="4" customWidth="1"/>
    <col min="3" max="7" width="15" style="4" customWidth="1"/>
    <col min="8" max="8" width="10" style="4" customWidth="1"/>
    <col min="9" max="16384" width="8.6640625" style="4"/>
  </cols>
  <sheetData>
    <row r="1" spans="1:8" ht="31.5" customHeight="1" x14ac:dyDescent="0.3">
      <c r="A1" s="21" t="s">
        <v>192</v>
      </c>
      <c r="B1" s="21"/>
      <c r="C1" s="21"/>
      <c r="D1" s="21"/>
      <c r="E1" s="21"/>
      <c r="F1" s="21"/>
      <c r="G1" s="21"/>
      <c r="H1" s="21"/>
    </row>
    <row r="3" spans="1:8" ht="27.75" customHeight="1" x14ac:dyDescent="0.3">
      <c r="A3" s="5" t="s">
        <v>0</v>
      </c>
      <c r="B3" s="5"/>
      <c r="C3" s="5"/>
      <c r="D3" s="5"/>
      <c r="E3" s="5"/>
      <c r="F3" s="5"/>
      <c r="G3" s="5"/>
      <c r="H3" s="5"/>
    </row>
    <row r="4" spans="1:8" ht="24" customHeight="1" x14ac:dyDescent="0.3">
      <c r="A4" s="6" t="s">
        <v>1</v>
      </c>
      <c r="B4" s="7" t="s">
        <v>2</v>
      </c>
      <c r="C4" s="3" t="s">
        <v>161</v>
      </c>
      <c r="D4" s="8" t="s">
        <v>4</v>
      </c>
      <c r="E4" s="8" t="s">
        <v>5</v>
      </c>
      <c r="F4" s="8" t="s">
        <v>6</v>
      </c>
    </row>
    <row r="5" spans="1:8" ht="24" customHeight="1" x14ac:dyDescent="0.3">
      <c r="A5" s="9" t="s">
        <v>7</v>
      </c>
      <c r="B5" s="10" t="s">
        <v>8</v>
      </c>
      <c r="C5" s="3" t="s">
        <v>166</v>
      </c>
      <c r="D5" s="8" t="s">
        <v>10</v>
      </c>
      <c r="E5" s="8" t="s">
        <v>11</v>
      </c>
      <c r="F5" s="8" t="s">
        <v>12</v>
      </c>
    </row>
    <row r="6" spans="1:8" ht="24" customHeight="1" x14ac:dyDescent="0.3">
      <c r="A6" s="6" t="s">
        <v>13</v>
      </c>
      <c r="B6" s="7" t="s">
        <v>14</v>
      </c>
      <c r="C6" s="3" t="s">
        <v>166</v>
      </c>
      <c r="D6" s="8" t="s">
        <v>10</v>
      </c>
      <c r="E6" s="8" t="s">
        <v>11</v>
      </c>
      <c r="F6" s="8" t="s">
        <v>12</v>
      </c>
    </row>
    <row r="7" spans="1:8" ht="24" customHeight="1" x14ac:dyDescent="0.3">
      <c r="A7" s="9" t="s">
        <v>15</v>
      </c>
      <c r="B7" s="10" t="s">
        <v>16</v>
      </c>
      <c r="C7" s="3" t="s">
        <v>167</v>
      </c>
      <c r="D7" s="8" t="s">
        <v>18</v>
      </c>
      <c r="E7" s="11"/>
      <c r="F7" s="11"/>
    </row>
    <row r="8" spans="1:8" x14ac:dyDescent="0.3">
      <c r="B8" s="39" t="s">
        <v>165</v>
      </c>
    </row>
    <row r="10" spans="1:8" ht="27.75" customHeight="1" x14ac:dyDescent="0.3">
      <c r="A10" s="5" t="s">
        <v>19</v>
      </c>
      <c r="B10" s="5"/>
      <c r="C10" s="5"/>
      <c r="D10" s="5"/>
      <c r="E10" s="5"/>
      <c r="F10" s="5"/>
      <c r="G10" s="5"/>
      <c r="H10" s="5"/>
    </row>
    <row r="11" spans="1:8" ht="33.75" customHeight="1" x14ac:dyDescent="0.3">
      <c r="A11" s="12" t="s">
        <v>20</v>
      </c>
      <c r="B11" s="12" t="s">
        <v>21</v>
      </c>
      <c r="C11" s="12" t="s">
        <v>131</v>
      </c>
      <c r="D11" s="12" t="s">
        <v>132</v>
      </c>
      <c r="E11" s="12" t="s">
        <v>133</v>
      </c>
      <c r="F11" s="12" t="s">
        <v>134</v>
      </c>
      <c r="G11" s="12" t="s">
        <v>135</v>
      </c>
      <c r="H11" s="12" t="s">
        <v>22</v>
      </c>
    </row>
    <row r="12" spans="1:8" ht="25.5" customHeight="1" x14ac:dyDescent="0.3">
      <c r="A12" s="6" t="s">
        <v>23</v>
      </c>
      <c r="B12" s="7" t="s">
        <v>24</v>
      </c>
      <c r="C12" s="14"/>
      <c r="D12" s="14"/>
      <c r="E12" s="14"/>
      <c r="F12" s="14"/>
      <c r="G12" s="13" t="s">
        <v>88</v>
      </c>
      <c r="H12" s="14">
        <f>IF(C12="X",1)+IF(D12="X",2)+IF(E12="X",3)+IF(F12="X",4)+IF(G12="X",5)</f>
        <v>5</v>
      </c>
    </row>
    <row r="13" spans="1:8" ht="25.5" customHeight="1" x14ac:dyDescent="0.3">
      <c r="A13" s="9" t="s">
        <v>25</v>
      </c>
      <c r="B13" s="10" t="s">
        <v>26</v>
      </c>
      <c r="C13" s="8"/>
      <c r="D13" s="8"/>
      <c r="E13" s="8"/>
      <c r="F13" s="8"/>
      <c r="G13" s="13" t="s">
        <v>88</v>
      </c>
      <c r="H13" s="8">
        <f>IF(C13="X",1)+IF(D13="X",2)+IF(E13="X",3)+IF(F13="X",4)+IF(G13="X",5)</f>
        <v>5</v>
      </c>
    </row>
    <row r="14" spans="1:8" ht="25.5" customHeight="1" x14ac:dyDescent="0.3">
      <c r="A14" s="6" t="s">
        <v>27</v>
      </c>
      <c r="B14" s="7" t="s">
        <v>28</v>
      </c>
      <c r="C14" s="14"/>
      <c r="D14" s="14"/>
      <c r="E14" s="14"/>
      <c r="F14" s="13"/>
      <c r="G14" s="14" t="s">
        <v>88</v>
      </c>
      <c r="H14" s="14">
        <f>IF(C14="X",1)+IF(D14="X",2)+IF(E14="X",3)+IF(F14="X",4)+IF(G14="X",5)</f>
        <v>5</v>
      </c>
    </row>
    <row r="15" spans="1:8" ht="25.5" customHeight="1" x14ac:dyDescent="0.3">
      <c r="A15" s="9" t="s">
        <v>29</v>
      </c>
      <c r="B15" s="10" t="s">
        <v>30</v>
      </c>
      <c r="C15" s="8"/>
      <c r="D15" s="8"/>
      <c r="E15" s="8"/>
      <c r="F15" s="8"/>
      <c r="G15" s="13" t="s">
        <v>88</v>
      </c>
      <c r="H15" s="8">
        <f>IF(C15="X",1)+IF(D15="X",2)+IF(E15="X",3)+IF(F15="X",4)+IF(G15="X",5)</f>
        <v>5</v>
      </c>
    </row>
    <row r="16" spans="1:8" ht="25.5" customHeight="1" x14ac:dyDescent="0.3">
      <c r="A16" s="6" t="s">
        <v>31</v>
      </c>
      <c r="B16" s="7" t="s">
        <v>32</v>
      </c>
      <c r="C16" s="14"/>
      <c r="D16" s="14"/>
      <c r="E16" s="14"/>
      <c r="F16" s="14"/>
      <c r="G16" s="13" t="s">
        <v>88</v>
      </c>
      <c r="H16" s="14">
        <f>IF(C16="X",1)+IF(D16="X",2)+IF(E16="X",3)+IF(F16="X",4)+IF(G16="X",5)</f>
        <v>5</v>
      </c>
    </row>
    <row r="17" spans="1:8" ht="24" customHeight="1" x14ac:dyDescent="0.3">
      <c r="A17" s="15"/>
      <c r="B17" s="16" t="s">
        <v>33</v>
      </c>
      <c r="C17" s="15"/>
      <c r="D17" s="15"/>
      <c r="E17" s="15"/>
      <c r="F17" s="15"/>
      <c r="G17" s="15"/>
      <c r="H17" s="17">
        <f>AVERAGE(H12:H16)</f>
        <v>5</v>
      </c>
    </row>
    <row r="19" spans="1:8" ht="27.75" customHeight="1" x14ac:dyDescent="0.3">
      <c r="A19" s="5" t="s">
        <v>34</v>
      </c>
      <c r="B19" s="5"/>
      <c r="C19" s="5"/>
      <c r="D19" s="5"/>
      <c r="E19" s="5"/>
      <c r="F19" s="5"/>
      <c r="G19" s="5"/>
      <c r="H19" s="5"/>
    </row>
    <row r="20" spans="1:8" ht="33.75" customHeight="1" x14ac:dyDescent="0.3">
      <c r="A20" s="12" t="s">
        <v>20</v>
      </c>
      <c r="B20" s="12" t="s">
        <v>21</v>
      </c>
      <c r="C20" s="12" t="s">
        <v>131</v>
      </c>
      <c r="D20" s="12" t="s">
        <v>132</v>
      </c>
      <c r="E20" s="12" t="s">
        <v>133</v>
      </c>
      <c r="F20" s="12" t="s">
        <v>134</v>
      </c>
      <c r="G20" s="12" t="s">
        <v>135</v>
      </c>
      <c r="H20" s="12" t="s">
        <v>22</v>
      </c>
    </row>
    <row r="21" spans="1:8" ht="25.5" customHeight="1" x14ac:dyDescent="0.3">
      <c r="A21" s="9" t="s">
        <v>35</v>
      </c>
      <c r="B21" s="10" t="s">
        <v>36</v>
      </c>
      <c r="C21" s="8"/>
      <c r="D21" s="8"/>
      <c r="E21" s="8"/>
      <c r="F21" s="8"/>
      <c r="G21" s="13" t="s">
        <v>88</v>
      </c>
      <c r="H21" s="8">
        <f>IF(C21="X",1)+IF(D21="X",2)+IF(E21="X",3)+IF(F21="X",4)+IF(G21="X",5)</f>
        <v>5</v>
      </c>
    </row>
    <row r="22" spans="1:8" ht="25.5" customHeight="1" x14ac:dyDescent="0.3">
      <c r="A22" s="6" t="s">
        <v>37</v>
      </c>
      <c r="B22" s="7" t="s">
        <v>38</v>
      </c>
      <c r="C22" s="14"/>
      <c r="D22" s="14"/>
      <c r="E22" s="14"/>
      <c r="F22" s="13"/>
      <c r="G22" s="14" t="s">
        <v>88</v>
      </c>
      <c r="H22" s="14">
        <f>IF(C22="X",1)+IF(D22="X",2)+IF(E22="X",3)+IF(F22="X",4)+IF(G22="X",5)</f>
        <v>5</v>
      </c>
    </row>
    <row r="23" spans="1:8" ht="25.5" customHeight="1" x14ac:dyDescent="0.3">
      <c r="A23" s="9" t="s">
        <v>39</v>
      </c>
      <c r="B23" s="10" t="s">
        <v>40</v>
      </c>
      <c r="C23" s="8"/>
      <c r="D23" s="8"/>
      <c r="E23" s="8"/>
      <c r="F23" s="8" t="s">
        <v>88</v>
      </c>
      <c r="G23" s="13"/>
      <c r="H23" s="8">
        <f>IF(C23="X",1)+IF(D23="X",2)+IF(E23="X",3)+IF(F23="X",4)+IF(G23="X",5)</f>
        <v>4</v>
      </c>
    </row>
    <row r="24" spans="1:8" ht="25.5" customHeight="1" x14ac:dyDescent="0.3">
      <c r="A24" s="6" t="s">
        <v>41</v>
      </c>
      <c r="B24" s="7" t="s">
        <v>42</v>
      </c>
      <c r="C24" s="14"/>
      <c r="D24" s="14"/>
      <c r="E24" s="14"/>
      <c r="F24" s="14"/>
      <c r="G24" s="13" t="s">
        <v>88</v>
      </c>
      <c r="H24" s="14">
        <f>IF(C24="X",1)+IF(D24="X",2)+IF(E24="X",3)+IF(F24="X",4)+IF(G24="X",5)</f>
        <v>5</v>
      </c>
    </row>
    <row r="25" spans="1:8" ht="24" customHeight="1" x14ac:dyDescent="0.3">
      <c r="A25" s="15"/>
      <c r="B25" s="16" t="s">
        <v>43</v>
      </c>
      <c r="C25" s="15"/>
      <c r="D25" s="15"/>
      <c r="E25" s="15"/>
      <c r="F25" s="15"/>
      <c r="G25" s="15"/>
      <c r="H25" s="17">
        <f>AVERAGE(H21:H24)</f>
        <v>4.75</v>
      </c>
    </row>
    <row r="27" spans="1:8" ht="27.75" customHeight="1" x14ac:dyDescent="0.3">
      <c r="A27" s="5" t="s">
        <v>44</v>
      </c>
      <c r="B27" s="5"/>
      <c r="C27" s="5"/>
      <c r="D27" s="5"/>
      <c r="E27" s="5"/>
      <c r="F27" s="5"/>
      <c r="G27" s="5"/>
      <c r="H27" s="5"/>
    </row>
    <row r="28" spans="1:8" ht="33.75" customHeight="1" x14ac:dyDescent="0.3">
      <c r="A28" s="12" t="s">
        <v>20</v>
      </c>
      <c r="B28" s="12" t="s">
        <v>21</v>
      </c>
      <c r="C28" s="12" t="s">
        <v>131</v>
      </c>
      <c r="D28" s="12" t="s">
        <v>132</v>
      </c>
      <c r="E28" s="12" t="s">
        <v>133</v>
      </c>
      <c r="F28" s="12" t="s">
        <v>134</v>
      </c>
      <c r="G28" s="12" t="s">
        <v>135</v>
      </c>
      <c r="H28" s="12" t="s">
        <v>22</v>
      </c>
    </row>
    <row r="29" spans="1:8" ht="25.5" customHeight="1" x14ac:dyDescent="0.3">
      <c r="A29" s="9" t="s">
        <v>45</v>
      </c>
      <c r="B29" s="10" t="s">
        <v>46</v>
      </c>
      <c r="C29" s="8"/>
      <c r="D29" s="8"/>
      <c r="E29" s="8"/>
      <c r="F29" s="8"/>
      <c r="G29" s="13" t="s">
        <v>88</v>
      </c>
      <c r="H29" s="8">
        <f>IF(C29="X",1)+IF(D29="X",2)+IF(E29="X",3)+IF(F29="X",4)+IF(G29="X",5)</f>
        <v>5</v>
      </c>
    </row>
    <row r="30" spans="1:8" ht="25.5" customHeight="1" x14ac:dyDescent="0.3">
      <c r="A30" s="6" t="s">
        <v>47</v>
      </c>
      <c r="B30" s="7" t="s">
        <v>48</v>
      </c>
      <c r="C30" s="14"/>
      <c r="D30" s="14"/>
      <c r="E30" s="14"/>
      <c r="F30" s="13" t="s">
        <v>88</v>
      </c>
      <c r="G30" s="14"/>
      <c r="H30" s="14">
        <f>IF(C30="X",1)+IF(D30="X",2)+IF(E30="X",3)+IF(F30="X",4)+IF(G30="X",5)</f>
        <v>4</v>
      </c>
    </row>
    <row r="31" spans="1:8" ht="25.5" customHeight="1" x14ac:dyDescent="0.3">
      <c r="A31" s="9" t="s">
        <v>49</v>
      </c>
      <c r="B31" s="10" t="s">
        <v>50</v>
      </c>
      <c r="C31" s="8"/>
      <c r="D31" s="8"/>
      <c r="E31" s="8"/>
      <c r="F31" s="8"/>
      <c r="G31" s="13" t="s">
        <v>88</v>
      </c>
      <c r="H31" s="8">
        <f>IF(C31="X",1)+IF(D31="X",2)+IF(E31="X",3)+IF(F31="X",4)+IF(G31="X",5)</f>
        <v>5</v>
      </c>
    </row>
    <row r="32" spans="1:8" ht="25.5" customHeight="1" x14ac:dyDescent="0.3">
      <c r="A32" s="6" t="s">
        <v>51</v>
      </c>
      <c r="B32" s="7" t="s">
        <v>52</v>
      </c>
      <c r="C32" s="14"/>
      <c r="D32" s="14"/>
      <c r="E32" s="14"/>
      <c r="F32" s="14"/>
      <c r="G32" s="13" t="s">
        <v>88</v>
      </c>
      <c r="H32" s="14">
        <f>IF(C32="X",1)+IF(D32="X",2)+IF(E32="X",3)+IF(F32="X",4)+IF(G32="X",5)</f>
        <v>5</v>
      </c>
    </row>
    <row r="33" spans="1:8" ht="24" customHeight="1" x14ac:dyDescent="0.3">
      <c r="A33" s="15"/>
      <c r="B33" s="16" t="s">
        <v>53</v>
      </c>
      <c r="C33" s="15"/>
      <c r="D33" s="15"/>
      <c r="E33" s="15"/>
      <c r="F33" s="15"/>
      <c r="G33" s="15"/>
      <c r="H33" s="17">
        <f>AVERAGE(H29:H32)</f>
        <v>4.75</v>
      </c>
    </row>
    <row r="35" spans="1:8" ht="27.75" customHeight="1" x14ac:dyDescent="0.3">
      <c r="A35" s="5" t="s">
        <v>54</v>
      </c>
      <c r="B35" s="5"/>
      <c r="C35" s="5"/>
      <c r="D35" s="5"/>
      <c r="E35" s="5"/>
      <c r="F35" s="5"/>
      <c r="G35" s="5"/>
      <c r="H35" s="5"/>
    </row>
    <row r="36" spans="1:8" ht="33.75" customHeight="1" x14ac:dyDescent="0.3">
      <c r="A36" s="12" t="s">
        <v>20</v>
      </c>
      <c r="B36" s="12" t="s">
        <v>21</v>
      </c>
      <c r="C36" s="12" t="s">
        <v>131</v>
      </c>
      <c r="D36" s="12" t="s">
        <v>132</v>
      </c>
      <c r="E36" s="12" t="s">
        <v>133</v>
      </c>
      <c r="F36" s="12" t="s">
        <v>134</v>
      </c>
      <c r="G36" s="12" t="s">
        <v>135</v>
      </c>
      <c r="H36" s="12" t="s">
        <v>22</v>
      </c>
    </row>
    <row r="37" spans="1:8" ht="25.5" customHeight="1" x14ac:dyDescent="0.3">
      <c r="A37" s="9" t="s">
        <v>55</v>
      </c>
      <c r="B37" s="10" t="s">
        <v>56</v>
      </c>
      <c r="C37" s="8"/>
      <c r="D37" s="8"/>
      <c r="E37" s="8"/>
      <c r="F37" s="8"/>
      <c r="G37" s="13" t="s">
        <v>88</v>
      </c>
      <c r="H37" s="8">
        <f>IF(C37="X",1)+IF(D37="X",2)+IF(E37="X",3)+IF(F37="X",4)+IF(G37="X",5)</f>
        <v>5</v>
      </c>
    </row>
    <row r="38" spans="1:8" ht="25.5" customHeight="1" x14ac:dyDescent="0.3">
      <c r="A38" s="6" t="s">
        <v>57</v>
      </c>
      <c r="B38" s="7" t="s">
        <v>58</v>
      </c>
      <c r="C38" s="14"/>
      <c r="D38" s="14"/>
      <c r="E38" s="14"/>
      <c r="F38" s="14"/>
      <c r="G38" s="13" t="s">
        <v>88</v>
      </c>
      <c r="H38" s="14">
        <f>IF(C38="X",1)+IF(D38="X",2)+IF(E38="X",3)+IF(F38="X",4)+IF(G38="X",5)</f>
        <v>5</v>
      </c>
    </row>
    <row r="39" spans="1:8" ht="25.5" customHeight="1" x14ac:dyDescent="0.3">
      <c r="A39" s="9" t="s">
        <v>59</v>
      </c>
      <c r="B39" s="10" t="s">
        <v>60</v>
      </c>
      <c r="C39" s="8"/>
      <c r="D39" s="8"/>
      <c r="E39" s="8"/>
      <c r="F39" s="13" t="s">
        <v>88</v>
      </c>
      <c r="G39" s="8"/>
      <c r="H39" s="8">
        <f>IF(C39="X",1)+IF(D39="X",2)+IF(E39="X",3)+IF(F39="X",4)+IF(G39="X",5)</f>
        <v>4</v>
      </c>
    </row>
    <row r="40" spans="1:8" ht="25.5" customHeight="1" x14ac:dyDescent="0.3">
      <c r="A40" s="6" t="s">
        <v>61</v>
      </c>
      <c r="B40" s="7" t="s">
        <v>62</v>
      </c>
      <c r="C40" s="14"/>
      <c r="D40" s="14"/>
      <c r="E40" s="14"/>
      <c r="F40" s="14"/>
      <c r="G40" s="13" t="s">
        <v>88</v>
      </c>
      <c r="H40" s="14">
        <f>IF(C40="X",1)+IF(D40="X",2)+IF(E40="X",3)+IF(F40="X",4)+IF(G40="X",5)</f>
        <v>5</v>
      </c>
    </row>
    <row r="41" spans="1:8" ht="24" customHeight="1" x14ac:dyDescent="0.3">
      <c r="A41" s="15"/>
      <c r="B41" s="16" t="s">
        <v>63</v>
      </c>
      <c r="C41" s="15"/>
      <c r="D41" s="15"/>
      <c r="E41" s="15"/>
      <c r="F41" s="15"/>
      <c r="G41" s="15"/>
      <c r="H41" s="17">
        <f>AVERAGE(H37:H40)</f>
        <v>4.75</v>
      </c>
    </row>
    <row r="43" spans="1:8" ht="27.75" customHeight="1" x14ac:dyDescent="0.3">
      <c r="A43" s="5" t="s">
        <v>64</v>
      </c>
      <c r="B43" s="5"/>
      <c r="C43" s="5"/>
      <c r="D43" s="5"/>
      <c r="E43" s="5"/>
      <c r="F43" s="5"/>
      <c r="G43" s="5"/>
      <c r="H43" s="5"/>
    </row>
    <row r="44" spans="1:8" ht="30" customHeight="1" x14ac:dyDescent="0.3">
      <c r="A44" s="6" t="s">
        <v>65</v>
      </c>
      <c r="B44" s="7" t="s">
        <v>66</v>
      </c>
      <c r="C44" s="19" t="s">
        <v>89</v>
      </c>
      <c r="D44" s="19"/>
      <c r="E44" s="19"/>
      <c r="F44" s="19"/>
      <c r="G44" s="19"/>
      <c r="H44" s="19"/>
    </row>
    <row r="45" spans="1:8" ht="30" customHeight="1" x14ac:dyDescent="0.3">
      <c r="A45" s="9" t="s">
        <v>67</v>
      </c>
      <c r="B45" s="10" t="s">
        <v>68</v>
      </c>
      <c r="C45" s="18" t="s">
        <v>123</v>
      </c>
      <c r="D45" s="18"/>
      <c r="E45" s="18"/>
      <c r="F45" s="18"/>
      <c r="G45" s="18"/>
      <c r="H45" s="18"/>
    </row>
    <row r="46" spans="1:8" ht="30" customHeight="1" x14ac:dyDescent="0.3">
      <c r="A46" s="6" t="s">
        <v>69</v>
      </c>
      <c r="B46" s="7" t="s">
        <v>70</v>
      </c>
      <c r="C46" s="19" t="s">
        <v>106</v>
      </c>
      <c r="D46" s="19"/>
      <c r="E46" s="19"/>
      <c r="F46" s="19"/>
      <c r="G46" s="19"/>
      <c r="H46" s="19"/>
    </row>
    <row r="47" spans="1:8" ht="30" customHeight="1" x14ac:dyDescent="0.3">
      <c r="A47" s="9" t="s">
        <v>71</v>
      </c>
      <c r="B47" s="10" t="s">
        <v>72</v>
      </c>
      <c r="C47" s="18" t="s">
        <v>100</v>
      </c>
      <c r="D47" s="18"/>
      <c r="E47" s="18"/>
      <c r="F47" s="18"/>
      <c r="G47" s="18"/>
      <c r="H47" s="18"/>
    </row>
    <row r="48" spans="1:8" ht="30" customHeight="1" x14ac:dyDescent="0.3">
      <c r="A48" s="6" t="s">
        <v>73</v>
      </c>
      <c r="B48" s="7" t="s">
        <v>74</v>
      </c>
      <c r="C48" s="19" t="s">
        <v>101</v>
      </c>
      <c r="D48" s="19"/>
      <c r="E48" s="19"/>
      <c r="F48" s="19"/>
      <c r="G48" s="19"/>
      <c r="H48" s="19"/>
    </row>
    <row r="49" spans="1:8" ht="30" customHeight="1" x14ac:dyDescent="0.3">
      <c r="A49" s="9" t="s">
        <v>75</v>
      </c>
      <c r="B49" s="10" t="s">
        <v>76</v>
      </c>
      <c r="C49" s="18" t="s">
        <v>100</v>
      </c>
      <c r="D49" s="18"/>
      <c r="E49" s="18"/>
      <c r="F49" s="18"/>
      <c r="G49" s="18"/>
      <c r="H49" s="18"/>
    </row>
    <row r="51" spans="1:8" ht="27.75" customHeight="1" x14ac:dyDescent="0.3">
      <c r="A51" s="5" t="s">
        <v>77</v>
      </c>
      <c r="B51" s="5"/>
      <c r="C51" s="5"/>
      <c r="D51" s="5"/>
      <c r="E51" s="5"/>
      <c r="F51" s="5"/>
      <c r="G51" s="5"/>
      <c r="H51" s="5"/>
    </row>
    <row r="52" spans="1:8" ht="31.5" customHeight="1" x14ac:dyDescent="0.3">
      <c r="A52" s="6" t="s">
        <v>78</v>
      </c>
      <c r="B52" s="7" t="s">
        <v>79</v>
      </c>
      <c r="C52" s="19" t="s">
        <v>94</v>
      </c>
      <c r="D52" s="19"/>
      <c r="E52" s="19"/>
      <c r="F52" s="19"/>
      <c r="G52" s="19"/>
      <c r="H52" s="19"/>
    </row>
    <row r="53" spans="1:8" ht="31.5" customHeight="1" x14ac:dyDescent="0.3">
      <c r="A53" s="9" t="s">
        <v>80</v>
      </c>
      <c r="B53" s="10" t="s">
        <v>81</v>
      </c>
      <c r="C53" s="18" t="s">
        <v>95</v>
      </c>
      <c r="D53" s="18"/>
      <c r="E53" s="18"/>
      <c r="F53" s="18"/>
      <c r="G53" s="18"/>
      <c r="H53" s="18"/>
    </row>
    <row r="54" spans="1:8" ht="31.5" customHeight="1" x14ac:dyDescent="0.3">
      <c r="A54" s="6" t="s">
        <v>82</v>
      </c>
      <c r="B54" s="7" t="s">
        <v>83</v>
      </c>
      <c r="C54" s="19" t="s">
        <v>168</v>
      </c>
      <c r="D54" s="19"/>
      <c r="E54" s="19"/>
      <c r="F54" s="19"/>
      <c r="G54" s="19"/>
      <c r="H54" s="19"/>
    </row>
    <row r="55" spans="1:8" ht="31.5" customHeight="1" x14ac:dyDescent="0.3">
      <c r="A55" s="9" t="s">
        <v>84</v>
      </c>
      <c r="B55" s="10" t="s">
        <v>85</v>
      </c>
      <c r="C55" s="18" t="s">
        <v>169</v>
      </c>
      <c r="D55" s="18"/>
      <c r="E55" s="18"/>
      <c r="F55" s="18"/>
      <c r="G55" s="18"/>
      <c r="H55" s="18"/>
    </row>
    <row r="56" spans="1:8" ht="31.5" customHeight="1" x14ac:dyDescent="0.3">
      <c r="A56" s="6" t="s">
        <v>86</v>
      </c>
      <c r="B56" s="7" t="s">
        <v>87</v>
      </c>
      <c r="C56" s="19" t="s">
        <v>170</v>
      </c>
      <c r="D56" s="19"/>
      <c r="E56" s="19"/>
      <c r="F56" s="19"/>
      <c r="G56" s="19"/>
      <c r="H56" s="19"/>
    </row>
  </sheetData>
  <mergeCells count="19">
    <mergeCell ref="C53:H53"/>
    <mergeCell ref="C54:H54"/>
    <mergeCell ref="C55:H55"/>
    <mergeCell ref="C56:H56"/>
    <mergeCell ref="C47:H47"/>
    <mergeCell ref="C48:H48"/>
    <mergeCell ref="C49:H49"/>
    <mergeCell ref="A51:H51"/>
    <mergeCell ref="C52:H52"/>
    <mergeCell ref="A35:H35"/>
    <mergeCell ref="A43:H43"/>
    <mergeCell ref="C44:H44"/>
    <mergeCell ref="C45:H45"/>
    <mergeCell ref="C46:H46"/>
    <mergeCell ref="A1:H1"/>
    <mergeCell ref="A3:H3"/>
    <mergeCell ref="A10:H10"/>
    <mergeCell ref="A19:H19"/>
    <mergeCell ref="A27:H27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1"/>
  <sheetViews>
    <sheetView showGridLines="0" tabSelected="1" zoomScaleNormal="100" workbookViewId="0">
      <pane ySplit="3" topLeftCell="A22" activePane="bottomLeft" state="frozen"/>
      <selection pane="bottomLeft" activeCell="E30" sqref="E30"/>
    </sheetView>
  </sheetViews>
  <sheetFormatPr defaultColWidth="8.6640625" defaultRowHeight="14.4" x14ac:dyDescent="0.3"/>
  <cols>
    <col min="1" max="1" width="10" style="4" customWidth="1"/>
    <col min="2" max="2" width="62" style="4" customWidth="1"/>
    <col min="3" max="6" width="14" style="4" customWidth="1"/>
    <col min="7" max="16384" width="8.6640625" style="4"/>
  </cols>
  <sheetData>
    <row r="1" spans="1:6" ht="31.5" customHeight="1" x14ac:dyDescent="0.3">
      <c r="A1" s="21" t="s">
        <v>124</v>
      </c>
      <c r="B1" s="21"/>
      <c r="C1" s="21"/>
      <c r="D1" s="21"/>
      <c r="E1" s="21"/>
      <c r="F1" s="21"/>
    </row>
    <row r="3" spans="1:6" ht="25.5" customHeight="1" x14ac:dyDescent="0.3">
      <c r="A3" s="40" t="s">
        <v>20</v>
      </c>
      <c r="B3" s="40" t="s">
        <v>21</v>
      </c>
      <c r="C3" s="40" t="s">
        <v>171</v>
      </c>
      <c r="D3" s="40" t="s">
        <v>172</v>
      </c>
      <c r="E3" s="40" t="s">
        <v>173</v>
      </c>
      <c r="F3" s="40" t="s">
        <v>125</v>
      </c>
    </row>
    <row r="4" spans="1:6" ht="24" customHeight="1" x14ac:dyDescent="0.3">
      <c r="A4" s="42" t="s">
        <v>19</v>
      </c>
      <c r="B4" s="42"/>
      <c r="C4" s="42"/>
      <c r="D4" s="42"/>
      <c r="E4" s="42"/>
      <c r="F4" s="42"/>
    </row>
    <row r="5" spans="1:6" ht="24" customHeight="1" x14ac:dyDescent="0.3">
      <c r="A5" s="9" t="s">
        <v>23</v>
      </c>
      <c r="B5" s="10" t="s">
        <v>24</v>
      </c>
      <c r="C5" s="43">
        <f>AVERAGE('P01'!H12,'P02'!H12,'P03'!H12)</f>
        <v>4</v>
      </c>
      <c r="D5" s="43">
        <f>AVERAGE('P04'!H12,'P05'!H12,'P06'!H12,'P07'!H12)</f>
        <v>4.5</v>
      </c>
      <c r="E5" s="43">
        <f>AVERAGE('P08'!H12,'P09'!H12,'P10'!H12)</f>
        <v>5</v>
      </c>
      <c r="F5" s="44">
        <f>AVERAGE('P01'!H12,'P02'!H12,'P03'!H12,'P04'!H12,'P05'!H12,'P06'!H12,'P07'!H12,'P08'!H12,'P09'!H12,'P10'!H12)</f>
        <v>4.5</v>
      </c>
    </row>
    <row r="6" spans="1:6" ht="24" customHeight="1" x14ac:dyDescent="0.3">
      <c r="A6" s="6" t="s">
        <v>25</v>
      </c>
      <c r="B6" s="7" t="s">
        <v>26</v>
      </c>
      <c r="C6" s="45">
        <f>AVERAGE('P01'!H13,'P02'!H13,'P03'!H13)</f>
        <v>3.3333333333333335</v>
      </c>
      <c r="D6" s="45">
        <f>AVERAGE('P04'!H13,'P05'!H13,'P06'!H13,'P07'!H13)</f>
        <v>4.5</v>
      </c>
      <c r="E6" s="45">
        <f>AVERAGE('P08'!H13,'P09'!H13,'P10'!H13)</f>
        <v>5</v>
      </c>
      <c r="F6" s="46">
        <f>AVERAGE('P01'!H13,'P02'!H13,'P03'!H13,'P04'!H13,'P05'!H13,'P06'!H13,'P07'!H13,'P08'!H13,'P09'!H13,'P10'!H13)</f>
        <v>4.3</v>
      </c>
    </row>
    <row r="7" spans="1:6" ht="24" customHeight="1" x14ac:dyDescent="0.3">
      <c r="A7" s="9" t="s">
        <v>27</v>
      </c>
      <c r="B7" s="10" t="s">
        <v>28</v>
      </c>
      <c r="C7" s="43">
        <f>AVERAGE('P01'!H14,'P02'!H14,'P03'!H14)</f>
        <v>4.333333333333333</v>
      </c>
      <c r="D7" s="43">
        <f>AVERAGE('P04'!H14,'P05'!H14,'P06'!H14,'P07'!H14)</f>
        <v>4.75</v>
      </c>
      <c r="E7" s="43">
        <f>AVERAGE('P08'!H14,'P09'!H14,'P10'!H14)</f>
        <v>5</v>
      </c>
      <c r="F7" s="44">
        <f>AVERAGE('P01'!H14,'P02'!H14,'P03'!H14,'P04'!H14,'P05'!H14,'P06'!H14,'P07'!H14,'P08'!H14,'P09'!H14,'P10'!H14)</f>
        <v>4.7</v>
      </c>
    </row>
    <row r="8" spans="1:6" ht="24" customHeight="1" x14ac:dyDescent="0.3">
      <c r="A8" s="6" t="s">
        <v>29</v>
      </c>
      <c r="B8" s="7" t="s">
        <v>30</v>
      </c>
      <c r="C8" s="45">
        <f>AVERAGE('P01'!H15,'P02'!H15,'P03'!H15)</f>
        <v>4.666666666666667</v>
      </c>
      <c r="D8" s="45">
        <f>AVERAGE('P04'!H15,'P05'!H15,'P06'!H15,'P07'!H15)</f>
        <v>4.25</v>
      </c>
      <c r="E8" s="45">
        <f>AVERAGE('P08'!H15,'P09'!H15,'P10'!H15)</f>
        <v>4.666666666666667</v>
      </c>
      <c r="F8" s="46">
        <f>AVERAGE('P01'!H15,'P02'!H15,'P03'!H15,'P04'!H15,'P05'!H15,'P06'!H15,'P07'!H15,'P08'!H15,'P09'!H15,'P10'!H15)</f>
        <v>4.5</v>
      </c>
    </row>
    <row r="9" spans="1:6" ht="24" customHeight="1" x14ac:dyDescent="0.3">
      <c r="A9" s="9" t="s">
        <v>31</v>
      </c>
      <c r="B9" s="10" t="s">
        <v>32</v>
      </c>
      <c r="C9" s="43">
        <f>AVERAGE('P01'!H16,'P02'!H16,'P03'!H16)</f>
        <v>4.2666666666666666</v>
      </c>
      <c r="D9" s="43">
        <f>AVERAGE('P04'!H16,'P05'!H16,'P06'!H16,'P07'!H16)</f>
        <v>4.75</v>
      </c>
      <c r="E9" s="43">
        <f>AVERAGE('P08'!H16,'P09'!H16,'P10'!H16)</f>
        <v>5</v>
      </c>
      <c r="F9" s="44">
        <f>AVERAGE('P01'!H16,'P02'!H16,'P03'!H16,'P04'!H16,'P05'!H16,'P06'!H16,'P07'!H16,'P08'!H16,'P09'!H16,'P10'!H16)</f>
        <v>4.68</v>
      </c>
    </row>
    <row r="10" spans="1:6" ht="25.5" customHeight="1" x14ac:dyDescent="0.3">
      <c r="A10" s="15"/>
      <c r="B10" s="16" t="s">
        <v>33</v>
      </c>
      <c r="C10" s="17">
        <f>AVERAGE(C5:C9)</f>
        <v>4.12</v>
      </c>
      <c r="D10" s="17">
        <f>AVERAGE(D5:D9)</f>
        <v>4.55</v>
      </c>
      <c r="E10" s="17">
        <f>AVERAGE(E5:E9)</f>
        <v>4.9333333333333336</v>
      </c>
      <c r="F10" s="17">
        <f>AVERAGE(F5:F9)</f>
        <v>4.5359999999999996</v>
      </c>
    </row>
    <row r="12" spans="1:6" ht="24" customHeight="1" x14ac:dyDescent="0.3">
      <c r="A12" s="42" t="s">
        <v>34</v>
      </c>
      <c r="B12" s="42"/>
      <c r="C12" s="42"/>
      <c r="D12" s="42"/>
      <c r="E12" s="42"/>
      <c r="F12" s="42"/>
    </row>
    <row r="13" spans="1:6" ht="24" customHeight="1" x14ac:dyDescent="0.3">
      <c r="A13" s="9" t="s">
        <v>35</v>
      </c>
      <c r="B13" s="10" t="s">
        <v>36</v>
      </c>
      <c r="C13" s="43">
        <f>AVERAGE('P01'!H21,'P02'!H21,'P03'!H21)</f>
        <v>4.333333333333333</v>
      </c>
      <c r="D13" s="43">
        <f>AVERAGE('P04'!H21,'P05'!H21,'P06'!H21,'P07'!H21)</f>
        <v>4.75</v>
      </c>
      <c r="E13" s="43">
        <f>AVERAGE('P08'!H21,'P09'!H21,'P10'!H21)</f>
        <v>5</v>
      </c>
      <c r="F13" s="44">
        <f>AVERAGE('P01'!H21,'P02'!H21,'P03'!H21,'P04'!H21,'P05'!H21,'P06'!H21,'P07'!H21,'P08'!H21,'P09'!H21,'P10'!H21)</f>
        <v>4.7</v>
      </c>
    </row>
    <row r="14" spans="1:6" ht="24" customHeight="1" x14ac:dyDescent="0.3">
      <c r="A14" s="6" t="s">
        <v>37</v>
      </c>
      <c r="B14" s="7" t="s">
        <v>38</v>
      </c>
      <c r="C14" s="45">
        <f>AVERAGE('P01'!H22,'P02'!H22,'P03'!H22)</f>
        <v>4.333333333333333</v>
      </c>
      <c r="D14" s="45">
        <f>AVERAGE('P04'!H22,'P05'!H22,'P06'!H22,'P07'!H22)</f>
        <v>4.75</v>
      </c>
      <c r="E14" s="45">
        <f>AVERAGE('P08'!H22,'P09'!H22,'P10'!H22)</f>
        <v>5</v>
      </c>
      <c r="F14" s="46">
        <f>AVERAGE('P01'!H22,'P02'!H22,'P03'!H22,'P04'!H22,'P05'!H22,'P06'!H22,'P07'!H22,'P08'!H22,'P09'!H22,'P10'!H22)</f>
        <v>4.7</v>
      </c>
    </row>
    <row r="15" spans="1:6" ht="24" customHeight="1" x14ac:dyDescent="0.3">
      <c r="A15" s="9" t="s">
        <v>39</v>
      </c>
      <c r="B15" s="10" t="s">
        <v>40</v>
      </c>
      <c r="C15" s="43">
        <f>AVERAGE('P01'!H23,'P02'!H23,'P03'!H23)</f>
        <v>4.333333333333333</v>
      </c>
      <c r="D15" s="43">
        <f>AVERAGE('P04'!H23,'P05'!H23,'P06'!H23,'P07'!H23)</f>
        <v>3</v>
      </c>
      <c r="E15" s="43">
        <f>AVERAGE('P08'!H23,'P09'!H23,'P10'!H23)</f>
        <v>4</v>
      </c>
      <c r="F15" s="44">
        <f>AVERAGE('P01'!H23,'P02'!H23,'P03'!H23,'P04'!H23,'P05'!H23,'P06'!H23,'P07'!H23,'P08'!H23,'P09'!H23,'P10'!H23)</f>
        <v>3.7</v>
      </c>
    </row>
    <row r="16" spans="1:6" ht="24" customHeight="1" x14ac:dyDescent="0.3">
      <c r="A16" s="6" t="s">
        <v>41</v>
      </c>
      <c r="B16" s="7" t="s">
        <v>42</v>
      </c>
      <c r="C16" s="45">
        <f>AVERAGE('P01'!H24,'P02'!H24,'P03'!H24)</f>
        <v>4.583333333333333</v>
      </c>
      <c r="D16" s="45">
        <f>AVERAGE('P04'!H24,'P05'!H24,'P06'!H24,'P07'!H24)</f>
        <v>5</v>
      </c>
      <c r="E16" s="45">
        <f>AVERAGE('P08'!H24,'P09'!H24,'P10'!H24)</f>
        <v>5</v>
      </c>
      <c r="F16" s="46">
        <f>AVERAGE('P01'!H24,'P02'!H24,'P03'!H24,'P04'!H24,'P05'!H24,'P06'!H24,'P07'!H24,'P08'!H24,'P09'!H24,'P10'!H24)</f>
        <v>4.875</v>
      </c>
    </row>
    <row r="17" spans="1:6" ht="25.5" customHeight="1" x14ac:dyDescent="0.3">
      <c r="A17" s="15"/>
      <c r="B17" s="16" t="s">
        <v>43</v>
      </c>
      <c r="C17" s="17">
        <f>AVERAGE(C13:C16)</f>
        <v>4.395833333333333</v>
      </c>
      <c r="D17" s="17">
        <f>AVERAGE(D13:D16)</f>
        <v>4.375</v>
      </c>
      <c r="E17" s="17">
        <f>AVERAGE(E13:E16)</f>
        <v>4.75</v>
      </c>
      <c r="F17" s="17">
        <f>AVERAGE(F13:F16)</f>
        <v>4.4937500000000004</v>
      </c>
    </row>
    <row r="19" spans="1:6" ht="24" customHeight="1" x14ac:dyDescent="0.3">
      <c r="A19" s="42" t="s">
        <v>44</v>
      </c>
      <c r="B19" s="42"/>
      <c r="C19" s="42"/>
      <c r="D19" s="42"/>
      <c r="E19" s="42"/>
      <c r="F19" s="42"/>
    </row>
    <row r="20" spans="1:6" ht="24" customHeight="1" x14ac:dyDescent="0.3">
      <c r="A20" s="6" t="s">
        <v>45</v>
      </c>
      <c r="B20" s="7" t="s">
        <v>46</v>
      </c>
      <c r="C20" s="45">
        <f>AVERAGE('P01'!H29,'P02'!H29,'P03'!H29)</f>
        <v>4.333333333333333</v>
      </c>
      <c r="D20" s="45">
        <f>AVERAGE('P04'!H29,'P05'!H29,'P06'!H29,'P07'!H29)</f>
        <v>4.5</v>
      </c>
      <c r="E20" s="45">
        <f>AVERAGE('P08'!H29,'P09'!H29,'P10'!H29)</f>
        <v>5</v>
      </c>
      <c r="F20" s="46">
        <f>AVERAGE('P01'!H29,'P02'!H29,'P03'!H29,'P04'!H29,'P05'!H29,'P06'!H29,'P07'!H29,'P08'!H29,'P09'!H29,'P10'!H29)</f>
        <v>4.5999999999999996</v>
      </c>
    </row>
    <row r="21" spans="1:6" ht="24" customHeight="1" x14ac:dyDescent="0.3">
      <c r="A21" s="9" t="s">
        <v>47</v>
      </c>
      <c r="B21" s="10" t="s">
        <v>48</v>
      </c>
      <c r="C21" s="43">
        <f>AVERAGE('P01'!H30,'P02'!H30,'P03'!H30)</f>
        <v>3.6666666666666665</v>
      </c>
      <c r="D21" s="43">
        <f>AVERAGE('P04'!H30,'P05'!H30,'P06'!H30,'P07'!H30)</f>
        <v>4.75</v>
      </c>
      <c r="E21" s="43">
        <f>AVERAGE('P08'!H30,'P09'!H30,'P10'!H30)</f>
        <v>4.666666666666667</v>
      </c>
      <c r="F21" s="44">
        <f>AVERAGE('P01'!H30,'P02'!H30,'P03'!H30,'P04'!H30,'P05'!H30,'P06'!H30,'P07'!H30,'P08'!H30,'P09'!H30,'P10'!H30)</f>
        <v>4.4000000000000004</v>
      </c>
    </row>
    <row r="22" spans="1:6" ht="24" customHeight="1" x14ac:dyDescent="0.3">
      <c r="A22" s="6" t="s">
        <v>49</v>
      </c>
      <c r="B22" s="7" t="s">
        <v>50</v>
      </c>
      <c r="C22" s="45">
        <f>AVERAGE('P01'!H31,'P02'!H31,'P03'!H31)</f>
        <v>4</v>
      </c>
      <c r="D22" s="45">
        <f>AVERAGE('P04'!H31,'P05'!H31,'P06'!H31,'P07'!H31)</f>
        <v>4</v>
      </c>
      <c r="E22" s="45">
        <f>AVERAGE('P08'!H31,'P09'!H31,'P10'!H31)</f>
        <v>4.666666666666667</v>
      </c>
      <c r="F22" s="46">
        <f>AVERAGE('P01'!H31,'P02'!H31,'P03'!H31,'P04'!H31,'P05'!H31,'P06'!H31,'P07'!H31,'P08'!H31,'P09'!H31,'P10'!H31)</f>
        <v>4.2</v>
      </c>
    </row>
    <row r="23" spans="1:6" ht="24" customHeight="1" x14ac:dyDescent="0.3">
      <c r="A23" s="9" t="s">
        <v>51</v>
      </c>
      <c r="B23" s="10" t="s">
        <v>52</v>
      </c>
      <c r="C23" s="43">
        <f>AVERAGE('P01'!H32,'P02'!H32,'P03'!H32)</f>
        <v>4</v>
      </c>
      <c r="D23" s="43">
        <f>AVERAGE('P04'!H32,'P05'!H32,'P06'!H32,'P07'!H32)</f>
        <v>4.75</v>
      </c>
      <c r="E23" s="43">
        <f>AVERAGE('P08'!H32,'P09'!H32,'P10'!H32)</f>
        <v>5</v>
      </c>
      <c r="F23" s="44">
        <f>AVERAGE('P01'!H32,'P02'!H32,'P03'!H32,'P04'!H32,'P05'!H32,'P06'!H32,'P07'!H32,'P08'!H32,'P09'!H32,'P10'!H32)</f>
        <v>4.5999999999999996</v>
      </c>
    </row>
    <row r="24" spans="1:6" ht="25.5" customHeight="1" x14ac:dyDescent="0.3">
      <c r="A24" s="15"/>
      <c r="B24" s="16" t="s">
        <v>53</v>
      </c>
      <c r="C24" s="17">
        <f>AVERAGE(C20:C23)</f>
        <v>4</v>
      </c>
      <c r="D24" s="17">
        <f>AVERAGE(D20:D23)</f>
        <v>4.5</v>
      </c>
      <c r="E24" s="17">
        <f>AVERAGE(E20:E23)</f>
        <v>4.8333333333333339</v>
      </c>
      <c r="F24" s="17">
        <f>AVERAGE(F20:F23)</f>
        <v>4.4499999999999993</v>
      </c>
    </row>
    <row r="26" spans="1:6" ht="24" customHeight="1" x14ac:dyDescent="0.3">
      <c r="A26" s="42" t="s">
        <v>54</v>
      </c>
      <c r="B26" s="42"/>
      <c r="C26" s="42"/>
      <c r="D26" s="42"/>
      <c r="E26" s="42"/>
      <c r="F26" s="42"/>
    </row>
    <row r="27" spans="1:6" ht="24" customHeight="1" x14ac:dyDescent="0.3">
      <c r="A27" s="9" t="s">
        <v>55</v>
      </c>
      <c r="B27" s="10" t="s">
        <v>56</v>
      </c>
      <c r="C27" s="43">
        <f>AVERAGE('P01'!H37,'P02'!H37,'P03'!H37)</f>
        <v>5</v>
      </c>
      <c r="D27" s="43">
        <f>AVERAGE('P04'!H37,'P05'!H37,'P06'!H37,'P07'!H37)</f>
        <v>4.5</v>
      </c>
      <c r="E27" s="43">
        <f>AVERAGE('P08'!H37,'P09'!H37,'P10'!H37)</f>
        <v>4.666666666666667</v>
      </c>
      <c r="F27" s="44">
        <f>AVERAGE('P01'!H37,'P02'!H37,'P03'!H37,'P04'!H37,'P05'!H37,'P06'!H37,'P07'!H37,'P08'!H37,'P09'!H37,'P10'!H37)</f>
        <v>4.7</v>
      </c>
    </row>
    <row r="28" spans="1:6" ht="24" customHeight="1" x14ac:dyDescent="0.3">
      <c r="A28" s="6" t="s">
        <v>57</v>
      </c>
      <c r="B28" s="7" t="s">
        <v>58</v>
      </c>
      <c r="C28" s="45">
        <f>AVERAGE('P01'!H38,'P02'!H38,'P03'!H38)</f>
        <v>4.333333333333333</v>
      </c>
      <c r="D28" s="45">
        <f>AVERAGE('P04'!H38,'P05'!H38,'P06'!H38,'P07'!H38)</f>
        <v>3.75</v>
      </c>
      <c r="E28" s="45">
        <f>AVERAGE('P08'!H38,'P09'!H38,'P10'!H38)</f>
        <v>4</v>
      </c>
      <c r="F28" s="46">
        <f>AVERAGE('P01'!H38,'P02'!H38,'P03'!H38,'P04'!H38,'P05'!H38,'P06'!H38,'P07'!H38,'P08'!H38,'P09'!H38,'P10'!H38)</f>
        <v>4</v>
      </c>
    </row>
    <row r="29" spans="1:6" ht="24" customHeight="1" x14ac:dyDescent="0.3">
      <c r="A29" s="9" t="s">
        <v>59</v>
      </c>
      <c r="B29" s="10" t="s">
        <v>60</v>
      </c>
      <c r="C29" s="43">
        <f>AVERAGE('P01'!H39,'P02'!H39,'P03'!H39)</f>
        <v>5</v>
      </c>
      <c r="D29" s="43">
        <f>AVERAGE('P04'!H39,'P05'!H39,'P06'!H39,'P07'!H39)</f>
        <v>4.5</v>
      </c>
      <c r="E29" s="43">
        <f>AVERAGE('P08'!H39,'P09'!H39,'P10'!H39)</f>
        <v>4.333333333333333</v>
      </c>
      <c r="F29" s="44">
        <f>AVERAGE('P01'!H39,'P02'!H39,'P03'!H39,'P04'!H39,'P05'!H39,'P06'!H39,'P07'!H39,'P08'!H39,'P09'!H39,'P10'!H39)</f>
        <v>4.5999999999999996</v>
      </c>
    </row>
    <row r="30" spans="1:6" ht="24" customHeight="1" x14ac:dyDescent="0.3">
      <c r="A30" s="6" t="s">
        <v>61</v>
      </c>
      <c r="B30" s="7" t="s">
        <v>62</v>
      </c>
      <c r="C30" s="45">
        <f>AVERAGE('P01'!H40,'P02'!H40,'P03'!H40)</f>
        <v>4.916666666666667</v>
      </c>
      <c r="D30" s="45">
        <f>AVERAGE('P04'!H40,'P05'!H40,'P06'!H40,'P07'!H40)</f>
        <v>4.25</v>
      </c>
      <c r="E30" s="45">
        <f>AVERAGE('P08'!H40,'P09'!H40,'P10'!H40)</f>
        <v>4</v>
      </c>
      <c r="F30" s="46">
        <f>AVERAGE('P01'!H40,'P02'!H40,'P03'!H40,'P04'!H40,'P05'!H40,'P06'!H40,'P07'!H40,'P08'!H40,'P09'!H40,'P10'!H40)</f>
        <v>4.375</v>
      </c>
    </row>
    <row r="31" spans="1:6" ht="25.5" customHeight="1" x14ac:dyDescent="0.3">
      <c r="A31" s="15"/>
      <c r="B31" s="16" t="s">
        <v>63</v>
      </c>
      <c r="C31" s="17">
        <f>AVERAGE(C27:C30)</f>
        <v>4.8125</v>
      </c>
      <c r="D31" s="17">
        <f>AVERAGE(D27:D30)</f>
        <v>4.25</v>
      </c>
      <c r="E31" s="17">
        <f>AVERAGE(E27:E30)</f>
        <v>4.25</v>
      </c>
      <c r="F31" s="17">
        <f>AVERAGE(F27:F30)</f>
        <v>4.4187499999999993</v>
      </c>
    </row>
  </sheetData>
  <mergeCells count="5">
    <mergeCell ref="A1:F1"/>
    <mergeCell ref="A4:F4"/>
    <mergeCell ref="A12:F12"/>
    <mergeCell ref="A19:F19"/>
    <mergeCell ref="A26:F26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9"/>
  <sheetViews>
    <sheetView showGridLines="0" zoomScaleNormal="100" workbookViewId="0">
      <selection activeCell="C4" sqref="C4:D7"/>
    </sheetView>
  </sheetViews>
  <sheetFormatPr defaultColWidth="8.6640625" defaultRowHeight="14.4" x14ac:dyDescent="0.3"/>
  <cols>
    <col min="1" max="1" width="8" customWidth="1"/>
    <col min="2" max="2" width="42" customWidth="1"/>
    <col min="3" max="4" width="16" customWidth="1"/>
    <col min="5" max="6" width="14" customWidth="1"/>
  </cols>
  <sheetData>
    <row r="1" spans="1:6" ht="31.5" customHeight="1" x14ac:dyDescent="0.3">
      <c r="A1" s="2" t="s">
        <v>182</v>
      </c>
      <c r="B1" s="2"/>
      <c r="C1" s="2"/>
      <c r="D1" s="2"/>
      <c r="E1" s="2"/>
      <c r="F1" s="2"/>
    </row>
    <row r="3" spans="1:6" ht="25.5" customHeight="1" x14ac:dyDescent="0.3">
      <c r="A3" s="12"/>
      <c r="B3" s="12" t="s">
        <v>126</v>
      </c>
      <c r="C3" s="12" t="s">
        <v>181</v>
      </c>
      <c r="D3" s="12" t="s">
        <v>178</v>
      </c>
      <c r="E3" s="12" t="s">
        <v>179</v>
      </c>
      <c r="F3" s="12" t="s">
        <v>180</v>
      </c>
    </row>
    <row r="4" spans="1:6" ht="24" customHeight="1" x14ac:dyDescent="0.3">
      <c r="A4" s="6" t="s">
        <v>127</v>
      </c>
      <c r="B4" s="7" t="s">
        <v>174</v>
      </c>
      <c r="C4" s="51">
        <v>2.85</v>
      </c>
      <c r="D4" s="45">
        <f>Medie!F10</f>
        <v>4.5359999999999996</v>
      </c>
      <c r="E4" s="47">
        <f>D4-C4</f>
        <v>1.6859999999999995</v>
      </c>
      <c r="F4" s="48">
        <f>IFERROR((D4-C4)/C4,0)</f>
        <v>0.59157894736842087</v>
      </c>
    </row>
    <row r="5" spans="1:6" ht="24" customHeight="1" x14ac:dyDescent="0.3">
      <c r="A5" s="9" t="s">
        <v>128</v>
      </c>
      <c r="B5" s="10" t="s">
        <v>175</v>
      </c>
      <c r="C5" s="52">
        <v>2.8</v>
      </c>
      <c r="D5" s="43">
        <f>Medie!F17</f>
        <v>4.4937500000000004</v>
      </c>
      <c r="E5" s="49">
        <f>D5-C5</f>
        <v>1.6937500000000005</v>
      </c>
      <c r="F5" s="50">
        <f>IFERROR((D5-C5)/C5,0)</f>
        <v>0.60491071428571452</v>
      </c>
    </row>
    <row r="6" spans="1:6" ht="24" customHeight="1" x14ac:dyDescent="0.3">
      <c r="A6" s="6" t="s">
        <v>129</v>
      </c>
      <c r="B6" s="7" t="s">
        <v>176</v>
      </c>
      <c r="C6" s="45">
        <v>3.14</v>
      </c>
      <c r="D6" s="45">
        <f>Medie!F24</f>
        <v>4.4499999999999993</v>
      </c>
      <c r="E6" s="47">
        <f>D6-C6</f>
        <v>1.3099999999999992</v>
      </c>
      <c r="F6" s="48">
        <f>IFERROR((D6-C6)/C6,0)</f>
        <v>0.4171974522292991</v>
      </c>
    </row>
    <row r="7" spans="1:6" ht="24" customHeight="1" x14ac:dyDescent="0.3">
      <c r="A7" s="9" t="s">
        <v>130</v>
      </c>
      <c r="B7" s="10" t="s">
        <v>177</v>
      </c>
      <c r="C7" s="43">
        <v>4.08</v>
      </c>
      <c r="D7" s="43">
        <f>Medie!F31</f>
        <v>4.4187499999999993</v>
      </c>
      <c r="E7" s="49">
        <f>D7-C7</f>
        <v>0.33874999999999922</v>
      </c>
      <c r="F7" s="50">
        <f>IFERROR((D7-C7)/C7,0)</f>
        <v>8.3026960784313528E-2</v>
      </c>
    </row>
    <row r="9" spans="1:6" x14ac:dyDescent="0.3">
      <c r="B9" s="1"/>
      <c r="C9" s="1"/>
      <c r="D9" s="1"/>
      <c r="E9" s="1"/>
      <c r="F9" s="1"/>
    </row>
  </sheetData>
  <mergeCells count="2">
    <mergeCell ref="A1:F1"/>
    <mergeCell ref="B9:F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P01</vt:lpstr>
      <vt:lpstr>P02</vt:lpstr>
      <vt:lpstr>P03</vt:lpstr>
      <vt:lpstr>P04</vt:lpstr>
      <vt:lpstr>P05</vt:lpstr>
      <vt:lpstr>P06</vt:lpstr>
      <vt:lpstr>P07</vt:lpstr>
      <vt:lpstr>P08</vt:lpstr>
      <vt:lpstr>P09</vt:lpstr>
      <vt:lpstr>P10</vt:lpstr>
      <vt:lpstr>Medie</vt:lpstr>
      <vt:lpstr>Confronto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KATIA PERRETTA</cp:lastModifiedBy>
  <cp:revision>0</cp:revision>
  <dcterms:created xsi:type="dcterms:W3CDTF">2026-07-24T12:49:54Z</dcterms:created>
  <dcterms:modified xsi:type="dcterms:W3CDTF">2026-07-24T14:41:34Z</dcterms:modified>
  <dc:language>en-US</dc:language>
</cp:coreProperties>
</file>